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bhay\Downloads\"/>
    </mc:Choice>
  </mc:AlternateContent>
  <xr:revisionPtr revIDLastSave="0" documentId="13_ncr:1_{4E6D7C50-CBA2-43CF-9F88-5E46ECCEA1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ster Sheet" sheetId="1" r:id="rId1"/>
    <sheet name="Participation Rates " sheetId="2" r:id="rId2"/>
    <sheet name=" Demographic Insights" sheetId="6" r:id="rId3"/>
    <sheet name="Cost vs Benefit Analysis" sheetId="7" r:id="rId4"/>
    <sheet name="Employee Feedback" sheetId="10" r:id="rId5"/>
    <sheet name="Retention &amp; Attrition" sheetId="11" r:id="rId6"/>
    <sheet name="Performance Metrics" sheetId="12" r:id="rId7"/>
  </sheets>
  <definedNames>
    <definedName name="_xlnm._FilterDatabase" localSheetId="2" hidden="1">' Demographic Insights'!$B$1:$I$401</definedName>
    <definedName name="_xlnm._FilterDatabase" localSheetId="3" hidden="1">'Cost vs Benefit Analysis'!$B$1:$D$1</definedName>
    <definedName name="_xlnm._FilterDatabase" localSheetId="0" hidden="1">'Master Sheet'!$A$1:$AD$401</definedName>
    <definedName name="_xlnm._FilterDatabase" localSheetId="1" hidden="1">'Participation Rates '!$B$1:$M$1</definedName>
    <definedName name="_xlnm._FilterDatabase" localSheetId="6" hidden="1">'Performance Metrics'!$B$1:$G$1</definedName>
    <definedName name="_xlnm._FilterDatabase" localSheetId="5" hidden="1">'Retention &amp; Attrition'!$B$1:$F$401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4" i="12" l="1"/>
  <c r="G185" i="12"/>
  <c r="G186" i="12"/>
  <c r="G3" i="12"/>
  <c r="G187" i="12"/>
  <c r="G188" i="12"/>
  <c r="G189" i="12"/>
  <c r="G4" i="12"/>
  <c r="G190" i="12"/>
  <c r="G5" i="12"/>
  <c r="G6" i="12"/>
  <c r="G191" i="12"/>
  <c r="G192" i="12"/>
  <c r="G7" i="12"/>
  <c r="G193" i="12"/>
  <c r="G194" i="12"/>
  <c r="G195" i="12"/>
  <c r="G196" i="12"/>
  <c r="G197" i="12"/>
  <c r="G198" i="12"/>
  <c r="G199" i="12"/>
  <c r="G200" i="12"/>
  <c r="G8" i="12"/>
  <c r="G9" i="12"/>
  <c r="G201" i="12"/>
  <c r="G10" i="12"/>
  <c r="G11" i="12"/>
  <c r="G12" i="12"/>
  <c r="G13" i="12"/>
  <c r="G14" i="12"/>
  <c r="G202" i="12"/>
  <c r="G203" i="12"/>
  <c r="G204" i="12"/>
  <c r="G15" i="12"/>
  <c r="G16" i="12"/>
  <c r="G17" i="12"/>
  <c r="G205" i="12"/>
  <c r="G206" i="12"/>
  <c r="G207" i="12"/>
  <c r="G208" i="12"/>
  <c r="G209" i="12"/>
  <c r="G210" i="12"/>
  <c r="G211" i="12"/>
  <c r="G212" i="12"/>
  <c r="G213" i="12"/>
  <c r="G214" i="12"/>
  <c r="G215" i="12"/>
  <c r="G18" i="12"/>
  <c r="G216" i="12"/>
  <c r="G19" i="12"/>
  <c r="G20" i="12"/>
  <c r="G217" i="12"/>
  <c r="G218" i="12"/>
  <c r="G219" i="12"/>
  <c r="G21" i="12"/>
  <c r="G220" i="12"/>
  <c r="G221" i="12"/>
  <c r="G222" i="12"/>
  <c r="G22" i="12"/>
  <c r="G223" i="12"/>
  <c r="G23" i="12"/>
  <c r="G224" i="12"/>
  <c r="G24" i="12"/>
  <c r="G225" i="12"/>
  <c r="G25" i="12"/>
  <c r="G226" i="12"/>
  <c r="G227" i="12"/>
  <c r="G26" i="12"/>
  <c r="G27" i="12"/>
  <c r="G228" i="12"/>
  <c r="G28" i="12"/>
  <c r="G29" i="12"/>
  <c r="G229" i="12"/>
  <c r="G230" i="12"/>
  <c r="G30" i="12"/>
  <c r="G31" i="12"/>
  <c r="G231" i="12"/>
  <c r="G32" i="12"/>
  <c r="G33" i="12"/>
  <c r="G232" i="12"/>
  <c r="G34" i="12"/>
  <c r="G35" i="12"/>
  <c r="G36" i="12"/>
  <c r="G233" i="12"/>
  <c r="G234" i="12"/>
  <c r="G235" i="12"/>
  <c r="G236" i="12"/>
  <c r="G237" i="12"/>
  <c r="G37" i="12"/>
  <c r="G38" i="12"/>
  <c r="G238" i="12"/>
  <c r="G39" i="12"/>
  <c r="G40" i="12"/>
  <c r="G41" i="12"/>
  <c r="G239" i="12"/>
  <c r="G240" i="12"/>
  <c r="G42" i="12"/>
  <c r="G43" i="12"/>
  <c r="G241" i="12"/>
  <c r="G242" i="12"/>
  <c r="G243" i="12"/>
  <c r="G44" i="12"/>
  <c r="G45" i="12"/>
  <c r="G244" i="12"/>
  <c r="G46" i="12"/>
  <c r="G245" i="12"/>
  <c r="G47" i="12"/>
  <c r="G246" i="12"/>
  <c r="G48" i="12"/>
  <c r="G247" i="12"/>
  <c r="G248" i="12"/>
  <c r="G249" i="12"/>
  <c r="G49" i="12"/>
  <c r="G50" i="12"/>
  <c r="G250" i="12"/>
  <c r="G51" i="12"/>
  <c r="G52" i="12"/>
  <c r="G251" i="12"/>
  <c r="G53" i="12"/>
  <c r="G54" i="12"/>
  <c r="G55" i="12"/>
  <c r="G56" i="12"/>
  <c r="G252" i="12"/>
  <c r="G253" i="12"/>
  <c r="G254" i="12"/>
  <c r="G57" i="12"/>
  <c r="G58" i="12"/>
  <c r="G255" i="12"/>
  <c r="G256" i="12"/>
  <c r="G59" i="12"/>
  <c r="G257" i="12"/>
  <c r="G60" i="12"/>
  <c r="G61" i="12"/>
  <c r="G258" i="12"/>
  <c r="G62" i="12"/>
  <c r="G259" i="12"/>
  <c r="G260" i="12"/>
  <c r="G63" i="12"/>
  <c r="G261" i="12"/>
  <c r="G64" i="12"/>
  <c r="G65" i="12"/>
  <c r="G66" i="12"/>
  <c r="G67" i="12"/>
  <c r="G68" i="12"/>
  <c r="G69" i="12"/>
  <c r="G70" i="12"/>
  <c r="G262" i="12"/>
  <c r="G71" i="12"/>
  <c r="G72" i="12"/>
  <c r="G263" i="12"/>
  <c r="G73" i="12"/>
  <c r="G264" i="12"/>
  <c r="G265" i="12"/>
  <c r="G74" i="12"/>
  <c r="G266" i="12"/>
  <c r="G267" i="12"/>
  <c r="G75" i="12"/>
  <c r="G76" i="12"/>
  <c r="G77" i="12"/>
  <c r="G268" i="12"/>
  <c r="G269" i="12"/>
  <c r="G270" i="12"/>
  <c r="G78" i="12"/>
  <c r="G79" i="12"/>
  <c r="G271" i="12"/>
  <c r="G272" i="12"/>
  <c r="G273" i="12"/>
  <c r="G80" i="12"/>
  <c r="G81" i="12"/>
  <c r="G82" i="12"/>
  <c r="G274" i="12"/>
  <c r="G275" i="12"/>
  <c r="G276" i="12"/>
  <c r="G83" i="12"/>
  <c r="G84" i="12"/>
  <c r="G85" i="12"/>
  <c r="G277" i="12"/>
  <c r="G86" i="12"/>
  <c r="G87" i="12"/>
  <c r="G278" i="12"/>
  <c r="G88" i="12"/>
  <c r="G89" i="12"/>
  <c r="G90" i="12"/>
  <c r="G279" i="12"/>
  <c r="G280" i="12"/>
  <c r="G281" i="12"/>
  <c r="G91" i="12"/>
  <c r="G92" i="12"/>
  <c r="G93" i="12"/>
  <c r="G94" i="12"/>
  <c r="G95" i="12"/>
  <c r="G96" i="12"/>
  <c r="G97" i="12"/>
  <c r="G98" i="12"/>
  <c r="G282" i="12"/>
  <c r="G99" i="12"/>
  <c r="G283" i="12"/>
  <c r="G284" i="12"/>
  <c r="G100" i="12"/>
  <c r="G285" i="12"/>
  <c r="G286" i="12"/>
  <c r="G287" i="12"/>
  <c r="G288" i="12"/>
  <c r="G101" i="12"/>
  <c r="G289" i="12"/>
  <c r="G102" i="12"/>
  <c r="G103" i="12"/>
  <c r="G104" i="12"/>
  <c r="G105" i="12"/>
  <c r="G290" i="12"/>
  <c r="G106" i="12"/>
  <c r="G107" i="12"/>
  <c r="G291" i="12"/>
  <c r="G292" i="12"/>
  <c r="G293" i="12"/>
  <c r="G294" i="12"/>
  <c r="G108" i="12"/>
  <c r="G295" i="12"/>
  <c r="G296" i="12"/>
  <c r="G297" i="12"/>
  <c r="G298" i="12"/>
  <c r="G109" i="12"/>
  <c r="G110" i="12"/>
  <c r="G299" i="12"/>
  <c r="G300" i="12"/>
  <c r="G111" i="12"/>
  <c r="G301" i="12"/>
  <c r="G302" i="12"/>
  <c r="G303" i="12"/>
  <c r="G112" i="12"/>
  <c r="G113" i="12"/>
  <c r="G114" i="12"/>
  <c r="G115" i="12"/>
  <c r="G304" i="12"/>
  <c r="G116" i="12"/>
  <c r="G305" i="12"/>
  <c r="G117" i="12"/>
  <c r="G118" i="12"/>
  <c r="G119" i="12"/>
  <c r="G306" i="12"/>
  <c r="G307" i="12"/>
  <c r="G308" i="12"/>
  <c r="G309" i="12"/>
  <c r="G310" i="12"/>
  <c r="G311" i="12"/>
  <c r="G312" i="12"/>
  <c r="G313" i="12"/>
  <c r="G314" i="12"/>
  <c r="G315" i="12"/>
  <c r="G120" i="12"/>
  <c r="G316" i="12"/>
  <c r="G121" i="12"/>
  <c r="G317" i="12"/>
  <c r="G122" i="12"/>
  <c r="G318" i="12"/>
  <c r="G319" i="12"/>
  <c r="G320" i="12"/>
  <c r="G321" i="12"/>
  <c r="G123" i="12"/>
  <c r="G124" i="12"/>
  <c r="G322" i="12"/>
  <c r="G125" i="12"/>
  <c r="G323" i="12"/>
  <c r="G324" i="12"/>
  <c r="G325" i="12"/>
  <c r="G326" i="12"/>
  <c r="G126" i="12"/>
  <c r="G327" i="12"/>
  <c r="G127" i="12"/>
  <c r="G328" i="12"/>
  <c r="G329" i="12"/>
  <c r="G128" i="12"/>
  <c r="G129" i="12"/>
  <c r="G330" i="12"/>
  <c r="G130" i="12"/>
  <c r="G331" i="12"/>
  <c r="G332" i="12"/>
  <c r="G131" i="12"/>
  <c r="G132" i="12"/>
  <c r="G333" i="12"/>
  <c r="G133" i="12"/>
  <c r="G334" i="12"/>
  <c r="G134" i="12"/>
  <c r="G135" i="12"/>
  <c r="G136" i="12"/>
  <c r="G335" i="12"/>
  <c r="G336" i="12"/>
  <c r="G337" i="12"/>
  <c r="G338" i="12"/>
  <c r="G339" i="12"/>
  <c r="G340" i="12"/>
  <c r="G341" i="12"/>
  <c r="G342" i="12"/>
  <c r="G343" i="12"/>
  <c r="G344" i="12"/>
  <c r="G137" i="12"/>
  <c r="G138" i="12"/>
  <c r="G139" i="12"/>
  <c r="G345" i="12"/>
  <c r="G346" i="12"/>
  <c r="G347" i="12"/>
  <c r="G348" i="12"/>
  <c r="G140" i="12"/>
  <c r="G349" i="12"/>
  <c r="G141" i="12"/>
  <c r="G142" i="12"/>
  <c r="G350" i="12"/>
  <c r="G351" i="12"/>
  <c r="G143" i="12"/>
  <c r="G144" i="12"/>
  <c r="G145" i="12"/>
  <c r="G352" i="12"/>
  <c r="G146" i="12"/>
  <c r="G147" i="12"/>
  <c r="G148" i="12"/>
  <c r="G353" i="12"/>
  <c r="G149" i="12"/>
  <c r="G150" i="12"/>
  <c r="G354" i="12"/>
  <c r="G355" i="12"/>
  <c r="G151" i="12"/>
  <c r="G152" i="12"/>
  <c r="G356" i="12"/>
  <c r="G153" i="12"/>
  <c r="G154" i="12"/>
  <c r="G357" i="12"/>
  <c r="G155" i="12"/>
  <c r="G156" i="12"/>
  <c r="G358" i="12"/>
  <c r="G359" i="12"/>
  <c r="G360" i="12"/>
  <c r="G157" i="12"/>
  <c r="G158" i="12"/>
  <c r="G361" i="12"/>
  <c r="G159" i="12"/>
  <c r="G362" i="12"/>
  <c r="G363" i="12"/>
  <c r="G160" i="12"/>
  <c r="G161" i="12"/>
  <c r="G162" i="12"/>
  <c r="G163" i="12"/>
  <c r="G364" i="12"/>
  <c r="G365" i="12"/>
  <c r="G366" i="12"/>
  <c r="G367" i="12"/>
  <c r="G164" i="12"/>
  <c r="G165" i="12"/>
  <c r="G368" i="12"/>
  <c r="G369" i="12"/>
  <c r="G370" i="12"/>
  <c r="G166" i="12"/>
  <c r="G371" i="12"/>
  <c r="G372" i="12"/>
  <c r="G373" i="12"/>
  <c r="G374" i="12"/>
  <c r="G167" i="12"/>
  <c r="G168" i="12"/>
  <c r="G169" i="12"/>
  <c r="G375" i="12"/>
  <c r="G376" i="12"/>
  <c r="G170" i="12"/>
  <c r="G377" i="12"/>
  <c r="G171" i="12"/>
  <c r="G378" i="12"/>
  <c r="G172" i="12"/>
  <c r="G379" i="12"/>
  <c r="G173" i="12"/>
  <c r="G380" i="12"/>
  <c r="G381" i="12"/>
  <c r="G382" i="12"/>
  <c r="G174" i="12"/>
  <c r="G175" i="12"/>
  <c r="G176" i="12"/>
  <c r="G383" i="12"/>
  <c r="G384" i="12"/>
  <c r="G385" i="12"/>
  <c r="G386" i="12"/>
  <c r="G387" i="12"/>
  <c r="G177" i="12"/>
  <c r="G388" i="12"/>
  <c r="G178" i="12"/>
  <c r="G389" i="12"/>
  <c r="G390" i="12"/>
  <c r="G391" i="12"/>
  <c r="G179" i="12"/>
  <c r="G392" i="12"/>
  <c r="G393" i="12"/>
  <c r="G180" i="12"/>
  <c r="G394" i="12"/>
  <c r="G395" i="12"/>
  <c r="G396" i="12"/>
  <c r="G181" i="12"/>
  <c r="G182" i="12"/>
  <c r="G397" i="12"/>
  <c r="G398" i="12"/>
  <c r="G183" i="12"/>
  <c r="G399" i="12"/>
  <c r="G400" i="12"/>
  <c r="G401" i="12"/>
  <c r="G2" i="12"/>
  <c r="E192" i="12"/>
  <c r="E7" i="12"/>
  <c r="E193" i="12"/>
  <c r="E194" i="12"/>
  <c r="E195" i="12"/>
  <c r="E196" i="12"/>
  <c r="E197" i="12"/>
  <c r="E198" i="12"/>
  <c r="E199" i="12"/>
  <c r="E200" i="12"/>
  <c r="E8" i="12"/>
  <c r="E9" i="12"/>
  <c r="E201" i="12"/>
  <c r="E10" i="12"/>
  <c r="E11" i="12"/>
  <c r="E12" i="12"/>
  <c r="E13" i="12"/>
  <c r="E14" i="12"/>
  <c r="E202" i="12"/>
  <c r="E203" i="12"/>
  <c r="E204" i="12"/>
  <c r="H204" i="12" s="1"/>
  <c r="E15" i="12"/>
  <c r="E16" i="12"/>
  <c r="E17" i="12"/>
  <c r="E205" i="12"/>
  <c r="H205" i="12" s="1"/>
  <c r="E206" i="12"/>
  <c r="E207" i="12"/>
  <c r="E208" i="12"/>
  <c r="H208" i="12" s="1"/>
  <c r="E209" i="12"/>
  <c r="E210" i="12"/>
  <c r="E211" i="12"/>
  <c r="H211" i="12" s="1"/>
  <c r="E212" i="12"/>
  <c r="E213" i="12"/>
  <c r="E214" i="12"/>
  <c r="H214" i="12" s="1"/>
  <c r="E215" i="12"/>
  <c r="E18" i="12"/>
  <c r="E216" i="12"/>
  <c r="H216" i="12" s="1"/>
  <c r="E19" i="12"/>
  <c r="E20" i="12"/>
  <c r="E217" i="12"/>
  <c r="E218" i="12"/>
  <c r="H218" i="12" s="1"/>
  <c r="E219" i="12"/>
  <c r="H219" i="12" s="1"/>
  <c r="E21" i="12"/>
  <c r="H21" i="12" s="1"/>
  <c r="E220" i="12"/>
  <c r="H220" i="12" s="1"/>
  <c r="E221" i="12"/>
  <c r="E222" i="12"/>
  <c r="E22" i="12"/>
  <c r="H22" i="12" s="1"/>
  <c r="E223" i="12"/>
  <c r="E23" i="12"/>
  <c r="E224" i="12"/>
  <c r="H224" i="12" s="1"/>
  <c r="E24" i="12"/>
  <c r="E225" i="12"/>
  <c r="E25" i="12"/>
  <c r="H25" i="12" s="1"/>
  <c r="E226" i="12"/>
  <c r="E227" i="12"/>
  <c r="E26" i="12"/>
  <c r="E27" i="12"/>
  <c r="H27" i="12" s="1"/>
  <c r="E228" i="12"/>
  <c r="E28" i="12"/>
  <c r="H28" i="12" s="1"/>
  <c r="E29" i="12"/>
  <c r="H29" i="12" s="1"/>
  <c r="E229" i="12"/>
  <c r="E230" i="12"/>
  <c r="E30" i="12"/>
  <c r="H30" i="12" s="1"/>
  <c r="E31" i="12"/>
  <c r="E231" i="12"/>
  <c r="E32" i="12"/>
  <c r="H32" i="12" s="1"/>
  <c r="E33" i="12"/>
  <c r="E232" i="12"/>
  <c r="E34" i="12"/>
  <c r="H34" i="12" s="1"/>
  <c r="E35" i="12"/>
  <c r="E36" i="12"/>
  <c r="E233" i="12"/>
  <c r="E234" i="12"/>
  <c r="H234" i="12" s="1"/>
  <c r="E235" i="12"/>
  <c r="H235" i="12" s="1"/>
  <c r="E236" i="12"/>
  <c r="H236" i="12" s="1"/>
  <c r="E237" i="12"/>
  <c r="H237" i="12" s="1"/>
  <c r="E37" i="12"/>
  <c r="E38" i="12"/>
  <c r="E238" i="12"/>
  <c r="H238" i="12" s="1"/>
  <c r="E39" i="12"/>
  <c r="E40" i="12"/>
  <c r="E41" i="12"/>
  <c r="H41" i="12" s="1"/>
  <c r="E239" i="12"/>
  <c r="E240" i="12"/>
  <c r="E42" i="12"/>
  <c r="H42" i="12" s="1"/>
  <c r="E43" i="12"/>
  <c r="E241" i="12"/>
  <c r="E242" i="12"/>
  <c r="E243" i="12"/>
  <c r="H243" i="12" s="1"/>
  <c r="E44" i="12"/>
  <c r="H44" i="12" s="1"/>
  <c r="E45" i="12"/>
  <c r="H45" i="12" s="1"/>
  <c r="E244" i="12"/>
  <c r="E46" i="12"/>
  <c r="E245" i="12"/>
  <c r="E47" i="12"/>
  <c r="H47" i="12" s="1"/>
  <c r="E246" i="12"/>
  <c r="E48" i="12"/>
  <c r="E247" i="12"/>
  <c r="H247" i="12" s="1"/>
  <c r="E248" i="12"/>
  <c r="E249" i="12"/>
  <c r="E49" i="12"/>
  <c r="H49" i="12" s="1"/>
  <c r="E50" i="12"/>
  <c r="E250" i="12"/>
  <c r="E51" i="12"/>
  <c r="E52" i="12"/>
  <c r="H52" i="12" s="1"/>
  <c r="E251" i="12"/>
  <c r="H251" i="12" s="1"/>
  <c r="E53" i="12"/>
  <c r="H53" i="12" s="1"/>
  <c r="E54" i="12"/>
  <c r="H54" i="12" s="1"/>
  <c r="E55" i="12"/>
  <c r="E56" i="12"/>
  <c r="E252" i="12"/>
  <c r="H252" i="12" s="1"/>
  <c r="E253" i="12"/>
  <c r="E254" i="12"/>
  <c r="E57" i="12"/>
  <c r="H57" i="12" s="1"/>
  <c r="E58" i="12"/>
  <c r="E255" i="12"/>
  <c r="E256" i="12"/>
  <c r="H256" i="12" s="1"/>
  <c r="E59" i="12"/>
  <c r="E257" i="12"/>
  <c r="E60" i="12"/>
  <c r="E61" i="12"/>
  <c r="H61" i="12" s="1"/>
  <c r="E258" i="12"/>
  <c r="H258" i="12" s="1"/>
  <c r="E62" i="12"/>
  <c r="H62" i="12" s="1"/>
  <c r="E259" i="12"/>
  <c r="H259" i="12" s="1"/>
  <c r="E260" i="12"/>
  <c r="E63" i="12"/>
  <c r="E261" i="12"/>
  <c r="H261" i="12" s="1"/>
  <c r="E64" i="12"/>
  <c r="E65" i="12"/>
  <c r="E66" i="12"/>
  <c r="H66" i="12" s="1"/>
  <c r="E67" i="12"/>
  <c r="E68" i="12"/>
  <c r="E69" i="12"/>
  <c r="H69" i="12" s="1"/>
  <c r="E70" i="12"/>
  <c r="E262" i="12"/>
  <c r="E71" i="12"/>
  <c r="E72" i="12"/>
  <c r="H72" i="12" s="1"/>
  <c r="E263" i="12"/>
  <c r="H263" i="12" s="1"/>
  <c r="E73" i="12"/>
  <c r="H73" i="12" s="1"/>
  <c r="E264" i="12"/>
  <c r="H264" i="12" s="1"/>
  <c r="E265" i="12"/>
  <c r="E74" i="12"/>
  <c r="E266" i="12"/>
  <c r="H266" i="12" s="1"/>
  <c r="E267" i="12"/>
  <c r="E75" i="12"/>
  <c r="E76" i="12"/>
  <c r="H76" i="12" s="1"/>
  <c r="E77" i="12"/>
  <c r="E268" i="12"/>
  <c r="E269" i="12"/>
  <c r="H269" i="12" s="1"/>
  <c r="E270" i="12"/>
  <c r="E78" i="12"/>
  <c r="E79" i="12"/>
  <c r="E271" i="12"/>
  <c r="H271" i="12" s="1"/>
  <c r="E272" i="12"/>
  <c r="H272" i="12" s="1"/>
  <c r="E273" i="12"/>
  <c r="H273" i="12" s="1"/>
  <c r="E80" i="12"/>
  <c r="H80" i="12" s="1"/>
  <c r="E81" i="12"/>
  <c r="E82" i="12"/>
  <c r="E274" i="12"/>
  <c r="H274" i="12" s="1"/>
  <c r="E275" i="12"/>
  <c r="E276" i="12"/>
  <c r="E83" i="12"/>
  <c r="H83" i="12" s="1"/>
  <c r="E84" i="12"/>
  <c r="E85" i="12"/>
  <c r="E277" i="12"/>
  <c r="H277" i="12" s="1"/>
  <c r="E86" i="12"/>
  <c r="E87" i="12"/>
  <c r="E278" i="12"/>
  <c r="E88" i="12"/>
  <c r="H88" i="12" s="1"/>
  <c r="E89" i="12"/>
  <c r="H89" i="12" s="1"/>
  <c r="E90" i="12"/>
  <c r="H90" i="12" s="1"/>
  <c r="E279" i="12"/>
  <c r="H279" i="12" s="1"/>
  <c r="E280" i="12"/>
  <c r="E281" i="12"/>
  <c r="E91" i="12"/>
  <c r="H91" i="12" s="1"/>
  <c r="E92" i="12"/>
  <c r="E93" i="12"/>
  <c r="E94" i="12"/>
  <c r="H94" i="12" s="1"/>
  <c r="E95" i="12"/>
  <c r="E96" i="12"/>
  <c r="E97" i="12"/>
  <c r="H97" i="12" s="1"/>
  <c r="E98" i="12"/>
  <c r="E282" i="12"/>
  <c r="E99" i="12"/>
  <c r="E283" i="12"/>
  <c r="H283" i="12" s="1"/>
  <c r="E284" i="12"/>
  <c r="H284" i="12" s="1"/>
  <c r="E100" i="12"/>
  <c r="H100" i="12" s="1"/>
  <c r="E285" i="12"/>
  <c r="H285" i="12" s="1"/>
  <c r="E286" i="12"/>
  <c r="E287" i="12"/>
  <c r="E288" i="12"/>
  <c r="H288" i="12" s="1"/>
  <c r="E101" i="12"/>
  <c r="E289" i="12"/>
  <c r="E102" i="12"/>
  <c r="H102" i="12" s="1"/>
  <c r="E103" i="12"/>
  <c r="E104" i="12"/>
  <c r="E105" i="12"/>
  <c r="H105" i="12" s="1"/>
  <c r="E290" i="12"/>
  <c r="E106" i="12"/>
  <c r="E107" i="12"/>
  <c r="E291" i="12"/>
  <c r="H291" i="12" s="1"/>
  <c r="E292" i="12"/>
  <c r="H292" i="12" s="1"/>
  <c r="E293" i="12"/>
  <c r="H293" i="12" s="1"/>
  <c r="E294" i="12"/>
  <c r="H294" i="12" s="1"/>
  <c r="E108" i="12"/>
  <c r="E295" i="12"/>
  <c r="E296" i="12"/>
  <c r="H296" i="12" s="1"/>
  <c r="E297" i="12"/>
  <c r="E298" i="12"/>
  <c r="E109" i="12"/>
  <c r="H109" i="12" s="1"/>
  <c r="E110" i="12"/>
  <c r="E299" i="12"/>
  <c r="E300" i="12"/>
  <c r="H300" i="12" s="1"/>
  <c r="E111" i="12"/>
  <c r="E301" i="12"/>
  <c r="E302" i="12"/>
  <c r="E303" i="12"/>
  <c r="H303" i="12" s="1"/>
  <c r="E112" i="12"/>
  <c r="H112" i="12" s="1"/>
  <c r="E113" i="12"/>
  <c r="H113" i="12" s="1"/>
  <c r="E114" i="12"/>
  <c r="H114" i="12" s="1"/>
  <c r="E115" i="12"/>
  <c r="E304" i="12"/>
  <c r="E116" i="12"/>
  <c r="H116" i="12" s="1"/>
  <c r="E305" i="12"/>
  <c r="E117" i="12"/>
  <c r="E118" i="12"/>
  <c r="H118" i="12" s="1"/>
  <c r="E119" i="12"/>
  <c r="E306" i="12"/>
  <c r="E307" i="12"/>
  <c r="H307" i="12" s="1"/>
  <c r="E308" i="12"/>
  <c r="E309" i="12"/>
  <c r="E310" i="12"/>
  <c r="E311" i="12"/>
  <c r="H311" i="12" s="1"/>
  <c r="E312" i="12"/>
  <c r="H312" i="12" s="1"/>
  <c r="E313" i="12"/>
  <c r="H313" i="12" s="1"/>
  <c r="E314" i="12"/>
  <c r="H314" i="12" s="1"/>
  <c r="E315" i="12"/>
  <c r="E120" i="12"/>
  <c r="E316" i="12"/>
  <c r="H316" i="12" s="1"/>
  <c r="E121" i="12"/>
  <c r="E317" i="12"/>
  <c r="E122" i="12"/>
  <c r="H122" i="12" s="1"/>
  <c r="E318" i="12"/>
  <c r="E319" i="12"/>
  <c r="E320" i="12"/>
  <c r="H320" i="12" s="1"/>
  <c r="E321" i="12"/>
  <c r="E123" i="12"/>
  <c r="E124" i="12"/>
  <c r="E322" i="12"/>
  <c r="H322" i="12" s="1"/>
  <c r="E125" i="12"/>
  <c r="H125" i="12" s="1"/>
  <c r="E323" i="12"/>
  <c r="H323" i="12" s="1"/>
  <c r="E324" i="12"/>
  <c r="H324" i="12" s="1"/>
  <c r="E325" i="12"/>
  <c r="E326" i="12"/>
  <c r="E126" i="12"/>
  <c r="H126" i="12" s="1"/>
  <c r="E327" i="12"/>
  <c r="E127" i="12"/>
  <c r="E328" i="12"/>
  <c r="H328" i="12" s="1"/>
  <c r="E329" i="12"/>
  <c r="E128" i="12"/>
  <c r="E129" i="12"/>
  <c r="H129" i="12" s="1"/>
  <c r="E330" i="12"/>
  <c r="E130" i="12"/>
  <c r="E331" i="12"/>
  <c r="E332" i="12"/>
  <c r="H332" i="12" s="1"/>
  <c r="E131" i="12"/>
  <c r="H131" i="12" s="1"/>
  <c r="E132" i="12"/>
  <c r="H132" i="12" s="1"/>
  <c r="E333" i="12"/>
  <c r="H333" i="12" s="1"/>
  <c r="E133" i="12"/>
  <c r="E334" i="12"/>
  <c r="E134" i="12"/>
  <c r="H134" i="12" s="1"/>
  <c r="E135" i="12"/>
  <c r="E136" i="12"/>
  <c r="E335" i="12"/>
  <c r="H335" i="12" s="1"/>
  <c r="E336" i="12"/>
  <c r="E337" i="12"/>
  <c r="E338" i="12"/>
  <c r="H338" i="12" s="1"/>
  <c r="E339" i="12"/>
  <c r="E340" i="12"/>
  <c r="E341" i="12"/>
  <c r="E342" i="12"/>
  <c r="H342" i="12" s="1"/>
  <c r="E343" i="12"/>
  <c r="H343" i="12" s="1"/>
  <c r="E344" i="12"/>
  <c r="H344" i="12" s="1"/>
  <c r="E137" i="12"/>
  <c r="H137" i="12" s="1"/>
  <c r="E138" i="12"/>
  <c r="E139" i="12"/>
  <c r="E345" i="12"/>
  <c r="H345" i="12" s="1"/>
  <c r="E346" i="12"/>
  <c r="E347" i="12"/>
  <c r="E348" i="12"/>
  <c r="H348" i="12" s="1"/>
  <c r="E140" i="12"/>
  <c r="E349" i="12"/>
  <c r="E141" i="12"/>
  <c r="H141" i="12" s="1"/>
  <c r="E142" i="12"/>
  <c r="E350" i="12"/>
  <c r="E351" i="12"/>
  <c r="E143" i="12"/>
  <c r="H143" i="12" s="1"/>
  <c r="E144" i="12"/>
  <c r="H144" i="12" s="1"/>
  <c r="E145" i="12"/>
  <c r="H145" i="12" s="1"/>
  <c r="E352" i="12"/>
  <c r="H352" i="12" s="1"/>
  <c r="E146" i="12"/>
  <c r="E147" i="12"/>
  <c r="E148" i="12"/>
  <c r="H148" i="12" s="1"/>
  <c r="E353" i="12"/>
  <c r="E149" i="12"/>
  <c r="E150" i="12"/>
  <c r="H150" i="12" s="1"/>
  <c r="E354" i="12"/>
  <c r="E355" i="12"/>
  <c r="E151" i="12"/>
  <c r="H151" i="12" s="1"/>
  <c r="E152" i="12"/>
  <c r="E356" i="12"/>
  <c r="E153" i="12"/>
  <c r="E154" i="12"/>
  <c r="H154" i="12" s="1"/>
  <c r="E357" i="12"/>
  <c r="H357" i="12" s="1"/>
  <c r="E155" i="12"/>
  <c r="H155" i="12" s="1"/>
  <c r="E156" i="12"/>
  <c r="H156" i="12" s="1"/>
  <c r="E358" i="12"/>
  <c r="E359" i="12"/>
  <c r="E360" i="12"/>
  <c r="H360" i="12" s="1"/>
  <c r="E157" i="12"/>
  <c r="E158" i="12"/>
  <c r="E361" i="12"/>
  <c r="H361" i="12" s="1"/>
  <c r="E159" i="12"/>
  <c r="E362" i="12"/>
  <c r="E363" i="12"/>
  <c r="H363" i="12" s="1"/>
  <c r="E160" i="12"/>
  <c r="E161" i="12"/>
  <c r="E162" i="12"/>
  <c r="E163" i="12"/>
  <c r="H163" i="12" s="1"/>
  <c r="E364" i="12"/>
  <c r="H364" i="12" s="1"/>
  <c r="E365" i="12"/>
  <c r="H365" i="12" s="1"/>
  <c r="E366" i="12"/>
  <c r="H366" i="12" s="1"/>
  <c r="E367" i="12"/>
  <c r="E164" i="12"/>
  <c r="E165" i="12"/>
  <c r="H165" i="12" s="1"/>
  <c r="E368" i="12"/>
  <c r="E369" i="12"/>
  <c r="E370" i="12"/>
  <c r="H370" i="12" s="1"/>
  <c r="E166" i="12"/>
  <c r="E371" i="12"/>
  <c r="E372" i="12"/>
  <c r="H372" i="12" s="1"/>
  <c r="E373" i="12"/>
  <c r="E374" i="12"/>
  <c r="E167" i="12"/>
  <c r="E168" i="12"/>
  <c r="H168" i="12" s="1"/>
  <c r="E169" i="12"/>
  <c r="H169" i="12" s="1"/>
  <c r="E375" i="12"/>
  <c r="H375" i="12" s="1"/>
  <c r="E376" i="12"/>
  <c r="H376" i="12" s="1"/>
  <c r="E170" i="12"/>
  <c r="E377" i="12"/>
  <c r="E171" i="12"/>
  <c r="H171" i="12" s="1"/>
  <c r="E378" i="12"/>
  <c r="E172" i="12"/>
  <c r="E379" i="12"/>
  <c r="H379" i="12" s="1"/>
  <c r="E173" i="12"/>
  <c r="E380" i="12"/>
  <c r="E381" i="12"/>
  <c r="H381" i="12" s="1"/>
  <c r="E382" i="12"/>
  <c r="E174" i="12"/>
  <c r="E175" i="12"/>
  <c r="E176" i="12"/>
  <c r="H176" i="12" s="1"/>
  <c r="E383" i="12"/>
  <c r="H383" i="12" s="1"/>
  <c r="E384" i="12"/>
  <c r="H384" i="12" s="1"/>
  <c r="E385" i="12"/>
  <c r="H385" i="12" s="1"/>
  <c r="E386" i="12"/>
  <c r="E387" i="12"/>
  <c r="E177" i="12"/>
  <c r="H177" i="12" s="1"/>
  <c r="E388" i="12"/>
  <c r="E178" i="12"/>
  <c r="E389" i="12"/>
  <c r="H389" i="12" s="1"/>
  <c r="E390" i="12"/>
  <c r="E391" i="12"/>
  <c r="E179" i="12"/>
  <c r="H179" i="12" s="1"/>
  <c r="E392" i="12"/>
  <c r="E393" i="12"/>
  <c r="E180" i="12"/>
  <c r="E394" i="12"/>
  <c r="H394" i="12" s="1"/>
  <c r="E395" i="12"/>
  <c r="H395" i="12" s="1"/>
  <c r="E396" i="12"/>
  <c r="H396" i="12" s="1"/>
  <c r="E181" i="12"/>
  <c r="H181" i="12" s="1"/>
  <c r="E182" i="12"/>
  <c r="E397" i="12"/>
  <c r="E398" i="12"/>
  <c r="H398" i="12" s="1"/>
  <c r="E183" i="12"/>
  <c r="E399" i="12"/>
  <c r="E400" i="12"/>
  <c r="H400" i="12" s="1"/>
  <c r="E401" i="12"/>
  <c r="E184" i="12"/>
  <c r="H184" i="12" s="1"/>
  <c r="E185" i="12"/>
  <c r="E186" i="12"/>
  <c r="E3" i="12"/>
  <c r="E187" i="12"/>
  <c r="E188" i="12"/>
  <c r="H188" i="12" s="1"/>
  <c r="E189" i="12"/>
  <c r="H189" i="12" s="1"/>
  <c r="E4" i="12"/>
  <c r="H4" i="12" s="1"/>
  <c r="E190" i="12"/>
  <c r="H190" i="12" s="1"/>
  <c r="E5" i="12"/>
  <c r="E6" i="12"/>
  <c r="E191" i="12"/>
  <c r="E2" i="12"/>
  <c r="C184" i="12"/>
  <c r="C185" i="12"/>
  <c r="C186" i="12"/>
  <c r="C3" i="12"/>
  <c r="C187" i="12"/>
  <c r="C188" i="12"/>
  <c r="C189" i="12"/>
  <c r="C4" i="12"/>
  <c r="C190" i="12"/>
  <c r="C5" i="12"/>
  <c r="C6" i="12"/>
  <c r="C191" i="12"/>
  <c r="C192" i="12"/>
  <c r="C7" i="12"/>
  <c r="C193" i="12"/>
  <c r="C194" i="12"/>
  <c r="C195" i="12"/>
  <c r="C196" i="12"/>
  <c r="C197" i="12"/>
  <c r="C198" i="12"/>
  <c r="C199" i="12"/>
  <c r="C200" i="12"/>
  <c r="C8" i="12"/>
  <c r="C9" i="12"/>
  <c r="C201" i="12"/>
  <c r="C10" i="12"/>
  <c r="C11" i="12"/>
  <c r="C12" i="12"/>
  <c r="C13" i="12"/>
  <c r="C14" i="12"/>
  <c r="C202" i="12"/>
  <c r="C203" i="12"/>
  <c r="C204" i="12"/>
  <c r="C15" i="12"/>
  <c r="C16" i="12"/>
  <c r="C17" i="12"/>
  <c r="C205" i="12"/>
  <c r="C206" i="12"/>
  <c r="C207" i="12"/>
  <c r="C208" i="12"/>
  <c r="C209" i="12"/>
  <c r="C210" i="12"/>
  <c r="C211" i="12"/>
  <c r="C212" i="12"/>
  <c r="C213" i="12"/>
  <c r="C214" i="12"/>
  <c r="C215" i="12"/>
  <c r="C18" i="12"/>
  <c r="C216" i="12"/>
  <c r="C19" i="12"/>
  <c r="C20" i="12"/>
  <c r="H20" i="12" s="1"/>
  <c r="C217" i="12"/>
  <c r="C218" i="12"/>
  <c r="C219" i="12"/>
  <c r="C21" i="12"/>
  <c r="C220" i="12"/>
  <c r="C221" i="12"/>
  <c r="C222" i="12"/>
  <c r="C22" i="12"/>
  <c r="C223" i="12"/>
  <c r="C23" i="12"/>
  <c r="C224" i="12"/>
  <c r="C24" i="12"/>
  <c r="C225" i="12"/>
  <c r="C25" i="12"/>
  <c r="C226" i="12"/>
  <c r="C227" i="12"/>
  <c r="C26" i="12"/>
  <c r="C27" i="12"/>
  <c r="C228" i="12"/>
  <c r="C28" i="12"/>
  <c r="C29" i="12"/>
  <c r="C229" i="12"/>
  <c r="C230" i="12"/>
  <c r="C30" i="12"/>
  <c r="C31" i="12"/>
  <c r="C231" i="12"/>
  <c r="C32" i="12"/>
  <c r="C33" i="12"/>
  <c r="C232" i="12"/>
  <c r="C34" i="12"/>
  <c r="C35" i="12"/>
  <c r="C36" i="12"/>
  <c r="C233" i="12"/>
  <c r="C234" i="12"/>
  <c r="C235" i="12"/>
  <c r="C236" i="12"/>
  <c r="C237" i="12"/>
  <c r="C37" i="12"/>
  <c r="C38" i="12"/>
  <c r="C238" i="12"/>
  <c r="C39" i="12"/>
  <c r="C40" i="12"/>
  <c r="C41" i="12"/>
  <c r="C239" i="12"/>
  <c r="C240" i="12"/>
  <c r="C42" i="12"/>
  <c r="C43" i="12"/>
  <c r="C241" i="12"/>
  <c r="C242" i="12"/>
  <c r="C243" i="12"/>
  <c r="C44" i="12"/>
  <c r="C45" i="12"/>
  <c r="C244" i="12"/>
  <c r="C46" i="12"/>
  <c r="C245" i="12"/>
  <c r="C47" i="12"/>
  <c r="C246" i="12"/>
  <c r="C48" i="12"/>
  <c r="C247" i="12"/>
  <c r="C248" i="12"/>
  <c r="C249" i="12"/>
  <c r="C49" i="12"/>
  <c r="C50" i="12"/>
  <c r="C250" i="12"/>
  <c r="C51" i="12"/>
  <c r="C52" i="12"/>
  <c r="C251" i="12"/>
  <c r="C53" i="12"/>
  <c r="C54" i="12"/>
  <c r="C55" i="12"/>
  <c r="C56" i="12"/>
  <c r="C252" i="12"/>
  <c r="C253" i="12"/>
  <c r="C254" i="12"/>
  <c r="H254" i="12" s="1"/>
  <c r="C57" i="12"/>
  <c r="C58" i="12"/>
  <c r="C255" i="12"/>
  <c r="C256" i="12"/>
  <c r="C59" i="12"/>
  <c r="C257" i="12"/>
  <c r="C60" i="12"/>
  <c r="C61" i="12"/>
  <c r="C258" i="12"/>
  <c r="C62" i="12"/>
  <c r="C259" i="12"/>
  <c r="C260" i="12"/>
  <c r="C63" i="12"/>
  <c r="C261" i="12"/>
  <c r="C64" i="12"/>
  <c r="C65" i="12"/>
  <c r="C66" i="12"/>
  <c r="C67" i="12"/>
  <c r="C68" i="12"/>
  <c r="C69" i="12"/>
  <c r="C70" i="12"/>
  <c r="C262" i="12"/>
  <c r="C71" i="12"/>
  <c r="C72" i="12"/>
  <c r="C263" i="12"/>
  <c r="C73" i="12"/>
  <c r="C264" i="12"/>
  <c r="C265" i="12"/>
  <c r="C74" i="12"/>
  <c r="C266" i="12"/>
  <c r="C267" i="12"/>
  <c r="C75" i="12"/>
  <c r="C76" i="12"/>
  <c r="C77" i="12"/>
  <c r="C268" i="12"/>
  <c r="C269" i="12"/>
  <c r="C270" i="12"/>
  <c r="C78" i="12"/>
  <c r="C79" i="12"/>
  <c r="C271" i="12"/>
  <c r="C272" i="12"/>
  <c r="C273" i="12"/>
  <c r="C80" i="12"/>
  <c r="C81" i="12"/>
  <c r="C82" i="12"/>
  <c r="C274" i="12"/>
  <c r="C275" i="12"/>
  <c r="C276" i="12"/>
  <c r="H276" i="12" s="1"/>
  <c r="C83" i="12"/>
  <c r="C84" i="12"/>
  <c r="C85" i="12"/>
  <c r="C277" i="12"/>
  <c r="C86" i="12"/>
  <c r="C87" i="12"/>
  <c r="C278" i="12"/>
  <c r="C88" i="12"/>
  <c r="C89" i="12"/>
  <c r="C90" i="12"/>
  <c r="C279" i="12"/>
  <c r="C280" i="12"/>
  <c r="C281" i="12"/>
  <c r="C91" i="12"/>
  <c r="C92" i="12"/>
  <c r="C93" i="12"/>
  <c r="C94" i="12"/>
  <c r="C95" i="12"/>
  <c r="C96" i="12"/>
  <c r="C97" i="12"/>
  <c r="C98" i="12"/>
  <c r="C282" i="12"/>
  <c r="C99" i="12"/>
  <c r="C283" i="12"/>
  <c r="C284" i="12"/>
  <c r="C100" i="12"/>
  <c r="C285" i="12"/>
  <c r="C286" i="12"/>
  <c r="C287" i="12"/>
  <c r="C288" i="12"/>
  <c r="C101" i="12"/>
  <c r="C289" i="12"/>
  <c r="C102" i="12"/>
  <c r="C103" i="12"/>
  <c r="C104" i="12"/>
  <c r="C105" i="12"/>
  <c r="C290" i="12"/>
  <c r="C106" i="12"/>
  <c r="C107" i="12"/>
  <c r="C291" i="12"/>
  <c r="C292" i="12"/>
  <c r="C293" i="12"/>
  <c r="C294" i="12"/>
  <c r="C108" i="12"/>
  <c r="C295" i="12"/>
  <c r="C296" i="12"/>
  <c r="C297" i="12"/>
  <c r="C298" i="12"/>
  <c r="C109" i="12"/>
  <c r="C110" i="12"/>
  <c r="C299" i="12"/>
  <c r="C300" i="12"/>
  <c r="C111" i="12"/>
  <c r="C301" i="12"/>
  <c r="C302" i="12"/>
  <c r="C303" i="12"/>
  <c r="C112" i="12"/>
  <c r="C113" i="12"/>
  <c r="C114" i="12"/>
  <c r="C115" i="12"/>
  <c r="C304" i="12"/>
  <c r="C116" i="12"/>
  <c r="C305" i="12"/>
  <c r="C117" i="12"/>
  <c r="C118" i="12"/>
  <c r="C119" i="12"/>
  <c r="C306" i="12"/>
  <c r="C307" i="12"/>
  <c r="C308" i="12"/>
  <c r="C309" i="12"/>
  <c r="C310" i="12"/>
  <c r="C311" i="12"/>
  <c r="C312" i="12"/>
  <c r="C313" i="12"/>
  <c r="C314" i="12"/>
  <c r="C315" i="12"/>
  <c r="C120" i="12"/>
  <c r="C316" i="12"/>
  <c r="C121" i="12"/>
  <c r="C317" i="12"/>
  <c r="C122" i="12"/>
  <c r="C318" i="12"/>
  <c r="C319" i="12"/>
  <c r="C320" i="12"/>
  <c r="C321" i="12"/>
  <c r="C123" i="12"/>
  <c r="C124" i="12"/>
  <c r="C322" i="12"/>
  <c r="C125" i="12"/>
  <c r="C323" i="12"/>
  <c r="C324" i="12"/>
  <c r="C325" i="12"/>
  <c r="C326" i="12"/>
  <c r="C126" i="12"/>
  <c r="C327" i="12"/>
  <c r="C127" i="12"/>
  <c r="C328" i="12"/>
  <c r="C329" i="12"/>
  <c r="C128" i="12"/>
  <c r="C129" i="12"/>
  <c r="C330" i="12"/>
  <c r="C130" i="12"/>
  <c r="C331" i="12"/>
  <c r="C332" i="12"/>
  <c r="C131" i="12"/>
  <c r="C132" i="12"/>
  <c r="C333" i="12"/>
  <c r="C133" i="12"/>
  <c r="C334" i="12"/>
  <c r="C134" i="12"/>
  <c r="C135" i="12"/>
  <c r="C136" i="12"/>
  <c r="C335" i="12"/>
  <c r="C336" i="12"/>
  <c r="C337" i="12"/>
  <c r="C338" i="12"/>
  <c r="C339" i="12"/>
  <c r="C340" i="12"/>
  <c r="C341" i="12"/>
  <c r="C342" i="12"/>
  <c r="C343" i="12"/>
  <c r="C344" i="12"/>
  <c r="C137" i="12"/>
  <c r="C138" i="12"/>
  <c r="C139" i="12"/>
  <c r="C345" i="12"/>
  <c r="C346" i="12"/>
  <c r="C347" i="12"/>
  <c r="C348" i="12"/>
  <c r="C140" i="12"/>
  <c r="C349" i="12"/>
  <c r="C141" i="12"/>
  <c r="C142" i="12"/>
  <c r="C350" i="12"/>
  <c r="C351" i="12"/>
  <c r="C143" i="12"/>
  <c r="C144" i="12"/>
  <c r="C145" i="12"/>
  <c r="C352" i="12"/>
  <c r="C146" i="12"/>
  <c r="C147" i="12"/>
  <c r="C148" i="12"/>
  <c r="C353" i="12"/>
  <c r="C149" i="12"/>
  <c r="C150" i="12"/>
  <c r="C354" i="12"/>
  <c r="C355" i="12"/>
  <c r="C151" i="12"/>
  <c r="C152" i="12"/>
  <c r="C356" i="12"/>
  <c r="C153" i="12"/>
  <c r="C154" i="12"/>
  <c r="C357" i="12"/>
  <c r="C155" i="12"/>
  <c r="C156" i="12"/>
  <c r="C358" i="12"/>
  <c r="C359" i="12"/>
  <c r="C360" i="12"/>
  <c r="C157" i="12"/>
  <c r="C158" i="12"/>
  <c r="C361" i="12"/>
  <c r="C159" i="12"/>
  <c r="C362" i="12"/>
  <c r="C363" i="12"/>
  <c r="C160" i="12"/>
  <c r="C161" i="12"/>
  <c r="C162" i="12"/>
  <c r="C163" i="12"/>
  <c r="C364" i="12"/>
  <c r="C365" i="12"/>
  <c r="C366" i="12"/>
  <c r="C367" i="12"/>
  <c r="C164" i="12"/>
  <c r="C165" i="12"/>
  <c r="C368" i="12"/>
  <c r="C369" i="12"/>
  <c r="C370" i="12"/>
  <c r="C166" i="12"/>
  <c r="C371" i="12"/>
  <c r="C372" i="12"/>
  <c r="C373" i="12"/>
  <c r="C374" i="12"/>
  <c r="C167" i="12"/>
  <c r="C168" i="12"/>
  <c r="C169" i="12"/>
  <c r="C375" i="12"/>
  <c r="C376" i="12"/>
  <c r="C170" i="12"/>
  <c r="C377" i="12"/>
  <c r="C171" i="12"/>
  <c r="C378" i="12"/>
  <c r="C172" i="12"/>
  <c r="C379" i="12"/>
  <c r="C173" i="12"/>
  <c r="C380" i="12"/>
  <c r="C381" i="12"/>
  <c r="C382" i="12"/>
  <c r="C174" i="12"/>
  <c r="C175" i="12"/>
  <c r="C176" i="12"/>
  <c r="C383" i="12"/>
  <c r="C384" i="12"/>
  <c r="C385" i="12"/>
  <c r="C386" i="12"/>
  <c r="C387" i="12"/>
  <c r="C177" i="12"/>
  <c r="C388" i="12"/>
  <c r="C178" i="12"/>
  <c r="C389" i="12"/>
  <c r="C390" i="12"/>
  <c r="C391" i="12"/>
  <c r="C179" i="12"/>
  <c r="C392" i="12"/>
  <c r="C393" i="12"/>
  <c r="C180" i="12"/>
  <c r="C394" i="12"/>
  <c r="C395" i="12"/>
  <c r="C396" i="12"/>
  <c r="C181" i="12"/>
  <c r="C182" i="12"/>
  <c r="C397" i="12"/>
  <c r="C398" i="12"/>
  <c r="C183" i="12"/>
  <c r="C399" i="12"/>
  <c r="C400" i="12"/>
  <c r="C401" i="12"/>
  <c r="C2" i="12"/>
  <c r="F200" i="11"/>
  <c r="F201" i="11"/>
  <c r="F202" i="11"/>
  <c r="F203" i="11"/>
  <c r="F204" i="11"/>
  <c r="F205" i="11"/>
  <c r="F2" i="11"/>
  <c r="F3" i="11"/>
  <c r="F4" i="11"/>
  <c r="F206" i="11"/>
  <c r="F207" i="11"/>
  <c r="F208" i="11"/>
  <c r="F5" i="11"/>
  <c r="F209" i="11"/>
  <c r="F6" i="11"/>
  <c r="F7" i="11"/>
  <c r="F8" i="11"/>
  <c r="F9" i="11"/>
  <c r="F10" i="11"/>
  <c r="F11" i="11"/>
  <c r="F210" i="11"/>
  <c r="F211" i="11"/>
  <c r="F12" i="11"/>
  <c r="F13" i="11"/>
  <c r="F212" i="11"/>
  <c r="F14" i="11"/>
  <c r="F15" i="11"/>
  <c r="F213" i="11"/>
  <c r="F16" i="11"/>
  <c r="F214" i="11"/>
  <c r="F17" i="11"/>
  <c r="F18" i="11"/>
  <c r="F19" i="11"/>
  <c r="F20" i="11"/>
  <c r="F21" i="11"/>
  <c r="F22" i="11"/>
  <c r="F23" i="11"/>
  <c r="F215" i="11"/>
  <c r="F216" i="11"/>
  <c r="F24" i="11"/>
  <c r="F25" i="11"/>
  <c r="F26" i="11"/>
  <c r="F27" i="11"/>
  <c r="F28" i="11"/>
  <c r="F29" i="11"/>
  <c r="F30" i="11"/>
  <c r="F217" i="11"/>
  <c r="F218" i="11"/>
  <c r="F219" i="11"/>
  <c r="F31" i="11"/>
  <c r="F220" i="11"/>
  <c r="F32" i="11"/>
  <c r="F33" i="11"/>
  <c r="F34" i="11"/>
  <c r="F221" i="11"/>
  <c r="F35" i="11"/>
  <c r="F222" i="11"/>
  <c r="F36" i="11"/>
  <c r="F37" i="11"/>
  <c r="F223" i="11"/>
  <c r="F224" i="11"/>
  <c r="F38" i="11"/>
  <c r="F225" i="11"/>
  <c r="F226" i="11"/>
  <c r="F227" i="11"/>
  <c r="F39" i="11"/>
  <c r="F228" i="11"/>
  <c r="F40" i="11"/>
  <c r="F229" i="11"/>
  <c r="F41" i="11"/>
  <c r="F42" i="11"/>
  <c r="F230" i="11"/>
  <c r="F43" i="11"/>
  <c r="F44" i="11"/>
  <c r="F45" i="11"/>
  <c r="F231" i="11"/>
  <c r="F232" i="11"/>
  <c r="F46" i="11"/>
  <c r="F233" i="11"/>
  <c r="F234" i="11"/>
  <c r="F235" i="11"/>
  <c r="F236" i="11"/>
  <c r="F47" i="11"/>
  <c r="F48" i="11"/>
  <c r="F237" i="11"/>
  <c r="F238" i="11"/>
  <c r="F239" i="11"/>
  <c r="F49" i="11"/>
  <c r="F50" i="11"/>
  <c r="F51" i="11"/>
  <c r="F240" i="11"/>
  <c r="F241" i="11"/>
  <c r="F52" i="11"/>
  <c r="F53" i="11"/>
  <c r="F242" i="11"/>
  <c r="F54" i="11"/>
  <c r="F55" i="11"/>
  <c r="F56" i="11"/>
  <c r="F243" i="11"/>
  <c r="F244" i="11"/>
  <c r="F57" i="11"/>
  <c r="F58" i="11"/>
  <c r="F245" i="11"/>
  <c r="F59" i="11"/>
  <c r="F246" i="11"/>
  <c r="F60" i="11"/>
  <c r="F61" i="11"/>
  <c r="F247" i="11"/>
  <c r="F62" i="11"/>
  <c r="F63" i="11"/>
  <c r="F64" i="11"/>
  <c r="F65" i="11"/>
  <c r="F66" i="11"/>
  <c r="F67" i="11"/>
  <c r="F68" i="11"/>
  <c r="F248" i="11"/>
  <c r="F249" i="11"/>
  <c r="F69" i="11"/>
  <c r="F70" i="11"/>
  <c r="F250" i="11"/>
  <c r="F71" i="11"/>
  <c r="F72" i="11"/>
  <c r="F73" i="11"/>
  <c r="F251" i="11"/>
  <c r="F252" i="11"/>
  <c r="F74" i="11"/>
  <c r="F253" i="11"/>
  <c r="F75" i="11"/>
  <c r="F254" i="11"/>
  <c r="F255" i="11"/>
  <c r="F76" i="11"/>
  <c r="F256" i="11"/>
  <c r="F257" i="11"/>
  <c r="F77" i="11"/>
  <c r="F78" i="11"/>
  <c r="F79" i="11"/>
  <c r="F80" i="11"/>
  <c r="F258" i="11"/>
  <c r="F81" i="11"/>
  <c r="F82" i="11"/>
  <c r="F83" i="11"/>
  <c r="F259" i="11"/>
  <c r="F260" i="11"/>
  <c r="F261" i="11"/>
  <c r="F262" i="11"/>
  <c r="F263" i="11"/>
  <c r="F264" i="11"/>
  <c r="F265" i="11"/>
  <c r="F266" i="11"/>
  <c r="F84" i="11"/>
  <c r="F267" i="11"/>
  <c r="F85" i="11"/>
  <c r="F86" i="11"/>
  <c r="F87" i="11"/>
  <c r="F268" i="11"/>
  <c r="F269" i="11"/>
  <c r="F270" i="11"/>
  <c r="F271" i="11"/>
  <c r="F272" i="11"/>
  <c r="F273" i="11"/>
  <c r="F88" i="11"/>
  <c r="F89" i="11"/>
  <c r="F90" i="11"/>
  <c r="F274" i="11"/>
  <c r="F275" i="11"/>
  <c r="F276" i="11"/>
  <c r="F91" i="11"/>
  <c r="F277" i="11"/>
  <c r="F278" i="11"/>
  <c r="F92" i="11"/>
  <c r="F93" i="11"/>
  <c r="F279" i="11"/>
  <c r="F280" i="11"/>
  <c r="F281" i="11"/>
  <c r="F94" i="11"/>
  <c r="F282" i="11"/>
  <c r="F95" i="11"/>
  <c r="F96" i="11"/>
  <c r="F97" i="11"/>
  <c r="F98" i="11"/>
  <c r="F283" i="11"/>
  <c r="F99" i="11"/>
  <c r="F284" i="11"/>
  <c r="F285" i="11"/>
  <c r="F286" i="11"/>
  <c r="F287" i="11"/>
  <c r="F100" i="11"/>
  <c r="F101" i="11"/>
  <c r="F288" i="11"/>
  <c r="F102" i="11"/>
  <c r="F289" i="11"/>
  <c r="F103" i="11"/>
  <c r="F104" i="11"/>
  <c r="F290" i="11"/>
  <c r="F291" i="11"/>
  <c r="F292" i="11"/>
  <c r="F105" i="11"/>
  <c r="F106" i="11"/>
  <c r="F293" i="11"/>
  <c r="F294" i="11"/>
  <c r="F295" i="11"/>
  <c r="F296" i="11"/>
  <c r="F107" i="11"/>
  <c r="F108" i="11"/>
  <c r="F109" i="11"/>
  <c r="F110" i="11"/>
  <c r="F111" i="11"/>
  <c r="F297" i="11"/>
  <c r="F112" i="11"/>
  <c r="F113" i="11"/>
  <c r="F114" i="11"/>
  <c r="F298" i="11"/>
  <c r="F115" i="11"/>
  <c r="F299" i="11"/>
  <c r="F116" i="11"/>
  <c r="F300" i="11"/>
  <c r="F117" i="11"/>
  <c r="F301" i="11"/>
  <c r="F118" i="11"/>
  <c r="F302" i="11"/>
  <c r="F119" i="11"/>
  <c r="F303" i="11"/>
  <c r="F304" i="11"/>
  <c r="F120" i="11"/>
  <c r="F305" i="11"/>
  <c r="F121" i="11"/>
  <c r="F306" i="11"/>
  <c r="F307" i="11"/>
  <c r="F308" i="11"/>
  <c r="F122" i="11"/>
  <c r="F123" i="11"/>
  <c r="F124" i="11"/>
  <c r="F309" i="11"/>
  <c r="F310" i="11"/>
  <c r="F125" i="11"/>
  <c r="F311" i="11"/>
  <c r="F312" i="11"/>
  <c r="F126" i="11"/>
  <c r="F313" i="11"/>
  <c r="F127" i="11"/>
  <c r="F314" i="11"/>
  <c r="F315" i="11"/>
  <c r="F128" i="11"/>
  <c r="F316" i="11"/>
  <c r="F317" i="11"/>
  <c r="F129" i="11"/>
  <c r="F318" i="11"/>
  <c r="F130" i="11"/>
  <c r="F319" i="11"/>
  <c r="F320" i="11"/>
  <c r="F131" i="11"/>
  <c r="F132" i="11"/>
  <c r="F133" i="11"/>
  <c r="F134" i="11"/>
  <c r="F135" i="11"/>
  <c r="F321" i="11"/>
  <c r="F136" i="11"/>
  <c r="F137" i="11"/>
  <c r="F322" i="11"/>
  <c r="F138" i="11"/>
  <c r="F139" i="11"/>
  <c r="F140" i="11"/>
  <c r="F323" i="11"/>
  <c r="F324" i="11"/>
  <c r="F325" i="11"/>
  <c r="F326" i="11"/>
  <c r="F141" i="11"/>
  <c r="F327" i="11"/>
  <c r="F142" i="11"/>
  <c r="F143" i="11"/>
  <c r="F328" i="11"/>
  <c r="F144" i="11"/>
  <c r="F145" i="11"/>
  <c r="F329" i="11"/>
  <c r="F146" i="11"/>
  <c r="F330" i="11"/>
  <c r="F331" i="11"/>
  <c r="F332" i="11"/>
  <c r="F147" i="11"/>
  <c r="F333" i="11"/>
  <c r="F334" i="11"/>
  <c r="F148" i="11"/>
  <c r="F149" i="11"/>
  <c r="F335" i="11"/>
  <c r="F150" i="11"/>
  <c r="F151" i="11"/>
  <c r="F152" i="11"/>
  <c r="F153" i="11"/>
  <c r="F336" i="11"/>
  <c r="F154" i="11"/>
  <c r="F155" i="11"/>
  <c r="F337" i="11"/>
  <c r="F156" i="11"/>
  <c r="F338" i="11"/>
  <c r="F339" i="11"/>
  <c r="F340" i="11"/>
  <c r="F157" i="11"/>
  <c r="F341" i="11"/>
  <c r="F342" i="11"/>
  <c r="F343" i="11"/>
  <c r="F158" i="11"/>
  <c r="F344" i="11"/>
  <c r="F345" i="11"/>
  <c r="F346" i="11"/>
  <c r="F347" i="11"/>
  <c r="F348" i="11"/>
  <c r="F159" i="11"/>
  <c r="F160" i="11"/>
  <c r="F349" i="11"/>
  <c r="F350" i="11"/>
  <c r="F351" i="11"/>
  <c r="F352" i="11"/>
  <c r="F161" i="11"/>
  <c r="F162" i="11"/>
  <c r="F353" i="11"/>
  <c r="F163" i="11"/>
  <c r="F164" i="11"/>
  <c r="F354" i="11"/>
  <c r="F165" i="11"/>
  <c r="F166" i="11"/>
  <c r="F167" i="11"/>
  <c r="F355" i="11"/>
  <c r="F356" i="11"/>
  <c r="F168" i="11"/>
  <c r="F169" i="11"/>
  <c r="F357" i="11"/>
  <c r="F358" i="11"/>
  <c r="F359" i="11"/>
  <c r="F360" i="11"/>
  <c r="F170" i="11"/>
  <c r="F361" i="11"/>
  <c r="F171" i="11"/>
  <c r="F362" i="11"/>
  <c r="F363" i="11"/>
  <c r="F364" i="11"/>
  <c r="F172" i="11"/>
  <c r="F173" i="11"/>
  <c r="F365" i="11"/>
  <c r="F366" i="11"/>
  <c r="F174" i="11"/>
  <c r="F367" i="11"/>
  <c r="F175" i="11"/>
  <c r="F368" i="11"/>
  <c r="F369" i="11"/>
  <c r="F370" i="11"/>
  <c r="F371" i="11"/>
  <c r="F372" i="11"/>
  <c r="F176" i="11"/>
  <c r="F373" i="11"/>
  <c r="F374" i="11"/>
  <c r="F375" i="11"/>
  <c r="F177" i="11"/>
  <c r="F376" i="11"/>
  <c r="F178" i="11"/>
  <c r="F377" i="11"/>
  <c r="F378" i="11"/>
  <c r="F179" i="11"/>
  <c r="F180" i="11"/>
  <c r="F379" i="11"/>
  <c r="F380" i="11"/>
  <c r="F181" i="11"/>
  <c r="F381" i="11"/>
  <c r="F382" i="11"/>
  <c r="F383" i="11"/>
  <c r="F182" i="11"/>
  <c r="F384" i="11"/>
  <c r="F385" i="11"/>
  <c r="F386" i="11"/>
  <c r="F387" i="11"/>
  <c r="F388" i="11"/>
  <c r="F183" i="11"/>
  <c r="F184" i="11"/>
  <c r="F185" i="11"/>
  <c r="F186" i="11"/>
  <c r="F187" i="11"/>
  <c r="F188" i="11"/>
  <c r="F389" i="11"/>
  <c r="F390" i="11"/>
  <c r="F189" i="11"/>
  <c r="F190" i="11"/>
  <c r="F391" i="11"/>
  <c r="F392" i="11"/>
  <c r="F393" i="11"/>
  <c r="F394" i="11"/>
  <c r="F395" i="11"/>
  <c r="F191" i="11"/>
  <c r="F192" i="11"/>
  <c r="F193" i="11"/>
  <c r="F396" i="11"/>
  <c r="F397" i="11"/>
  <c r="F194" i="11"/>
  <c r="F195" i="11"/>
  <c r="F398" i="11"/>
  <c r="F196" i="11"/>
  <c r="F197" i="11"/>
  <c r="F198" i="11"/>
  <c r="F399" i="11"/>
  <c r="F400" i="11"/>
  <c r="F401" i="11"/>
  <c r="F199" i="11"/>
  <c r="C200" i="11"/>
  <c r="C201" i="11"/>
  <c r="C202" i="11"/>
  <c r="C203" i="11"/>
  <c r="C204" i="11"/>
  <c r="C205" i="11"/>
  <c r="C2" i="11"/>
  <c r="C3" i="11"/>
  <c r="C4" i="11"/>
  <c r="C206" i="11"/>
  <c r="C207" i="11"/>
  <c r="C208" i="11"/>
  <c r="C5" i="11"/>
  <c r="C209" i="11"/>
  <c r="C6" i="11"/>
  <c r="C7" i="11"/>
  <c r="C8" i="11"/>
  <c r="C9" i="11"/>
  <c r="C10" i="11"/>
  <c r="C11" i="11"/>
  <c r="C210" i="11"/>
  <c r="C211" i="11"/>
  <c r="C12" i="11"/>
  <c r="C13" i="11"/>
  <c r="C212" i="11"/>
  <c r="C14" i="11"/>
  <c r="C15" i="11"/>
  <c r="C213" i="11"/>
  <c r="C16" i="11"/>
  <c r="C214" i="11"/>
  <c r="C17" i="11"/>
  <c r="C18" i="11"/>
  <c r="C19" i="11"/>
  <c r="C20" i="11"/>
  <c r="C21" i="11"/>
  <c r="C22" i="11"/>
  <c r="C23" i="11"/>
  <c r="C215" i="11"/>
  <c r="C216" i="11"/>
  <c r="C24" i="11"/>
  <c r="C25" i="11"/>
  <c r="C26" i="11"/>
  <c r="C27" i="11"/>
  <c r="C28" i="11"/>
  <c r="C29" i="11"/>
  <c r="C30" i="11"/>
  <c r="C217" i="11"/>
  <c r="C218" i="11"/>
  <c r="C219" i="11"/>
  <c r="C31" i="11"/>
  <c r="C220" i="11"/>
  <c r="C32" i="11"/>
  <c r="C33" i="11"/>
  <c r="C34" i="11"/>
  <c r="C221" i="11"/>
  <c r="C35" i="11"/>
  <c r="C222" i="11"/>
  <c r="C36" i="11"/>
  <c r="C37" i="11"/>
  <c r="C223" i="11"/>
  <c r="C224" i="11"/>
  <c r="C38" i="11"/>
  <c r="C225" i="11"/>
  <c r="C226" i="11"/>
  <c r="C227" i="11"/>
  <c r="C39" i="11"/>
  <c r="C228" i="11"/>
  <c r="C40" i="11"/>
  <c r="C229" i="11"/>
  <c r="C41" i="11"/>
  <c r="C42" i="11"/>
  <c r="C230" i="11"/>
  <c r="C43" i="11"/>
  <c r="C44" i="11"/>
  <c r="C45" i="11"/>
  <c r="C231" i="11"/>
  <c r="C232" i="11"/>
  <c r="C46" i="11"/>
  <c r="C233" i="11"/>
  <c r="C234" i="11"/>
  <c r="C235" i="11"/>
  <c r="C236" i="11"/>
  <c r="C47" i="11"/>
  <c r="C48" i="11"/>
  <c r="C237" i="11"/>
  <c r="C238" i="11"/>
  <c r="C239" i="11"/>
  <c r="C49" i="11"/>
  <c r="C50" i="11"/>
  <c r="C51" i="11"/>
  <c r="C240" i="11"/>
  <c r="C241" i="11"/>
  <c r="C52" i="11"/>
  <c r="C53" i="11"/>
  <c r="C242" i="11"/>
  <c r="C54" i="11"/>
  <c r="C55" i="11"/>
  <c r="C56" i="11"/>
  <c r="C243" i="11"/>
  <c r="C244" i="11"/>
  <c r="C57" i="11"/>
  <c r="C58" i="11"/>
  <c r="C245" i="11"/>
  <c r="C59" i="11"/>
  <c r="C246" i="11"/>
  <c r="C60" i="11"/>
  <c r="C61" i="11"/>
  <c r="C247" i="11"/>
  <c r="C62" i="11"/>
  <c r="C63" i="11"/>
  <c r="C64" i="11"/>
  <c r="C65" i="11"/>
  <c r="C66" i="11"/>
  <c r="C67" i="11"/>
  <c r="C68" i="11"/>
  <c r="C248" i="11"/>
  <c r="C249" i="11"/>
  <c r="C69" i="11"/>
  <c r="C70" i="11"/>
  <c r="C250" i="11"/>
  <c r="C71" i="11"/>
  <c r="C72" i="11"/>
  <c r="C73" i="11"/>
  <c r="C251" i="11"/>
  <c r="C252" i="11"/>
  <c r="C74" i="11"/>
  <c r="C253" i="11"/>
  <c r="C75" i="11"/>
  <c r="C254" i="11"/>
  <c r="C255" i="11"/>
  <c r="C76" i="11"/>
  <c r="C256" i="11"/>
  <c r="C257" i="11"/>
  <c r="C77" i="11"/>
  <c r="C78" i="11"/>
  <c r="C79" i="11"/>
  <c r="C80" i="11"/>
  <c r="C258" i="11"/>
  <c r="C81" i="11"/>
  <c r="C82" i="11"/>
  <c r="C83" i="11"/>
  <c r="C259" i="11"/>
  <c r="C260" i="11"/>
  <c r="C261" i="11"/>
  <c r="C262" i="11"/>
  <c r="C263" i="11"/>
  <c r="C264" i="11"/>
  <c r="C265" i="11"/>
  <c r="C266" i="11"/>
  <c r="C84" i="11"/>
  <c r="C267" i="11"/>
  <c r="C85" i="11"/>
  <c r="C86" i="11"/>
  <c r="C87" i="11"/>
  <c r="C268" i="11"/>
  <c r="C269" i="11"/>
  <c r="C270" i="11"/>
  <c r="C271" i="11"/>
  <c r="C272" i="11"/>
  <c r="C273" i="11"/>
  <c r="C88" i="11"/>
  <c r="C89" i="11"/>
  <c r="C90" i="11"/>
  <c r="C274" i="11"/>
  <c r="C275" i="11"/>
  <c r="C276" i="11"/>
  <c r="C91" i="11"/>
  <c r="C277" i="11"/>
  <c r="C278" i="11"/>
  <c r="C92" i="11"/>
  <c r="C93" i="11"/>
  <c r="C279" i="11"/>
  <c r="C280" i="11"/>
  <c r="C281" i="11"/>
  <c r="C94" i="11"/>
  <c r="C282" i="11"/>
  <c r="C95" i="11"/>
  <c r="C96" i="11"/>
  <c r="C97" i="11"/>
  <c r="C98" i="11"/>
  <c r="C283" i="11"/>
  <c r="C99" i="11"/>
  <c r="C284" i="11"/>
  <c r="C285" i="11"/>
  <c r="C286" i="11"/>
  <c r="C287" i="11"/>
  <c r="C100" i="11"/>
  <c r="C101" i="11"/>
  <c r="C288" i="11"/>
  <c r="C102" i="11"/>
  <c r="C289" i="11"/>
  <c r="C103" i="11"/>
  <c r="C104" i="11"/>
  <c r="C290" i="11"/>
  <c r="C291" i="11"/>
  <c r="C292" i="11"/>
  <c r="C105" i="11"/>
  <c r="C106" i="11"/>
  <c r="C293" i="11"/>
  <c r="C294" i="11"/>
  <c r="C295" i="11"/>
  <c r="C296" i="11"/>
  <c r="C107" i="11"/>
  <c r="C108" i="11"/>
  <c r="C109" i="11"/>
  <c r="C110" i="11"/>
  <c r="C111" i="11"/>
  <c r="C297" i="11"/>
  <c r="C112" i="11"/>
  <c r="C113" i="11"/>
  <c r="C114" i="11"/>
  <c r="C298" i="11"/>
  <c r="C115" i="11"/>
  <c r="C299" i="11"/>
  <c r="C116" i="11"/>
  <c r="C300" i="11"/>
  <c r="C117" i="11"/>
  <c r="C301" i="11"/>
  <c r="C118" i="11"/>
  <c r="C302" i="11"/>
  <c r="C119" i="11"/>
  <c r="C303" i="11"/>
  <c r="C304" i="11"/>
  <c r="C120" i="11"/>
  <c r="C305" i="11"/>
  <c r="C121" i="11"/>
  <c r="C306" i="11"/>
  <c r="C307" i="11"/>
  <c r="C308" i="11"/>
  <c r="C122" i="11"/>
  <c r="C123" i="11"/>
  <c r="C124" i="11"/>
  <c r="C309" i="11"/>
  <c r="C310" i="11"/>
  <c r="C125" i="11"/>
  <c r="C311" i="11"/>
  <c r="C312" i="11"/>
  <c r="C126" i="11"/>
  <c r="C313" i="11"/>
  <c r="C127" i="11"/>
  <c r="C314" i="11"/>
  <c r="C315" i="11"/>
  <c r="C128" i="11"/>
  <c r="C316" i="11"/>
  <c r="C317" i="11"/>
  <c r="C129" i="11"/>
  <c r="C318" i="11"/>
  <c r="C130" i="11"/>
  <c r="C319" i="11"/>
  <c r="C320" i="11"/>
  <c r="C131" i="11"/>
  <c r="C132" i="11"/>
  <c r="C133" i="11"/>
  <c r="C134" i="11"/>
  <c r="C135" i="11"/>
  <c r="C321" i="11"/>
  <c r="C136" i="11"/>
  <c r="C137" i="11"/>
  <c r="C322" i="11"/>
  <c r="C138" i="11"/>
  <c r="C139" i="11"/>
  <c r="C140" i="11"/>
  <c r="C323" i="11"/>
  <c r="C324" i="11"/>
  <c r="C325" i="11"/>
  <c r="C326" i="11"/>
  <c r="C141" i="11"/>
  <c r="C327" i="11"/>
  <c r="C142" i="11"/>
  <c r="C143" i="11"/>
  <c r="C328" i="11"/>
  <c r="C144" i="11"/>
  <c r="C145" i="11"/>
  <c r="C329" i="11"/>
  <c r="C146" i="11"/>
  <c r="C330" i="11"/>
  <c r="C331" i="11"/>
  <c r="C332" i="11"/>
  <c r="C147" i="11"/>
  <c r="C333" i="11"/>
  <c r="C334" i="11"/>
  <c r="C148" i="11"/>
  <c r="C149" i="11"/>
  <c r="C335" i="11"/>
  <c r="C150" i="11"/>
  <c r="C151" i="11"/>
  <c r="C152" i="11"/>
  <c r="C153" i="11"/>
  <c r="C336" i="11"/>
  <c r="C154" i="11"/>
  <c r="C155" i="11"/>
  <c r="C337" i="11"/>
  <c r="C156" i="11"/>
  <c r="C338" i="11"/>
  <c r="C339" i="11"/>
  <c r="C340" i="11"/>
  <c r="C157" i="11"/>
  <c r="C341" i="11"/>
  <c r="C342" i="11"/>
  <c r="C343" i="11"/>
  <c r="C158" i="11"/>
  <c r="C344" i="11"/>
  <c r="C345" i="11"/>
  <c r="C346" i="11"/>
  <c r="C347" i="11"/>
  <c r="C348" i="11"/>
  <c r="C159" i="11"/>
  <c r="C160" i="11"/>
  <c r="C349" i="11"/>
  <c r="C350" i="11"/>
  <c r="C351" i="11"/>
  <c r="C352" i="11"/>
  <c r="C161" i="11"/>
  <c r="C162" i="11"/>
  <c r="C353" i="11"/>
  <c r="C163" i="11"/>
  <c r="C164" i="11"/>
  <c r="C354" i="11"/>
  <c r="C165" i="11"/>
  <c r="C166" i="11"/>
  <c r="C167" i="11"/>
  <c r="C355" i="11"/>
  <c r="C356" i="11"/>
  <c r="C168" i="11"/>
  <c r="C169" i="11"/>
  <c r="C357" i="11"/>
  <c r="C358" i="11"/>
  <c r="C359" i="11"/>
  <c r="C360" i="11"/>
  <c r="C170" i="11"/>
  <c r="C361" i="11"/>
  <c r="C171" i="11"/>
  <c r="C362" i="11"/>
  <c r="C363" i="11"/>
  <c r="C364" i="11"/>
  <c r="C172" i="11"/>
  <c r="C173" i="11"/>
  <c r="C365" i="11"/>
  <c r="C366" i="11"/>
  <c r="C174" i="11"/>
  <c r="C367" i="11"/>
  <c r="C175" i="11"/>
  <c r="C368" i="11"/>
  <c r="C369" i="11"/>
  <c r="C370" i="11"/>
  <c r="C371" i="11"/>
  <c r="C372" i="11"/>
  <c r="C176" i="11"/>
  <c r="C373" i="11"/>
  <c r="C374" i="11"/>
  <c r="C375" i="11"/>
  <c r="C177" i="11"/>
  <c r="C376" i="11"/>
  <c r="C178" i="11"/>
  <c r="C377" i="11"/>
  <c r="C378" i="11"/>
  <c r="C179" i="11"/>
  <c r="C180" i="11"/>
  <c r="C379" i="11"/>
  <c r="C380" i="11"/>
  <c r="C181" i="11"/>
  <c r="C381" i="11"/>
  <c r="C382" i="11"/>
  <c r="C383" i="11"/>
  <c r="C182" i="11"/>
  <c r="C384" i="11"/>
  <c r="C385" i="11"/>
  <c r="C386" i="11"/>
  <c r="C387" i="11"/>
  <c r="C388" i="11"/>
  <c r="C183" i="11"/>
  <c r="C184" i="11"/>
  <c r="C185" i="11"/>
  <c r="C186" i="11"/>
  <c r="C187" i="11"/>
  <c r="C188" i="11"/>
  <c r="C389" i="11"/>
  <c r="C390" i="11"/>
  <c r="C189" i="11"/>
  <c r="C190" i="11"/>
  <c r="C391" i="11"/>
  <c r="C392" i="11"/>
  <c r="C393" i="11"/>
  <c r="C394" i="11"/>
  <c r="C395" i="11"/>
  <c r="C191" i="11"/>
  <c r="C192" i="11"/>
  <c r="C193" i="11"/>
  <c r="C396" i="11"/>
  <c r="C397" i="11"/>
  <c r="C194" i="11"/>
  <c r="C195" i="11"/>
  <c r="C398" i="11"/>
  <c r="C196" i="11"/>
  <c r="C197" i="11"/>
  <c r="C198" i="11"/>
  <c r="C399" i="11"/>
  <c r="C400" i="11"/>
  <c r="C401" i="11"/>
  <c r="C199" i="1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2" i="7"/>
  <c r="D102" i="7" a="1"/>
  <c r="D102" i="7" s="1"/>
  <c r="D308" i="7" a="1"/>
  <c r="D308" i="7" s="1"/>
  <c r="D309" i="7" a="1"/>
  <c r="D309" i="7" s="1"/>
  <c r="D2" i="7" a="1"/>
  <c r="D2" i="7" s="1"/>
  <c r="D3" i="7" a="1"/>
  <c r="D3" i="7" s="1"/>
  <c r="D310" i="7" a="1"/>
  <c r="D310" i="7" s="1"/>
  <c r="D4" i="7" a="1"/>
  <c r="D4" i="7" s="1"/>
  <c r="D311" i="7" a="1"/>
  <c r="D311" i="7" s="1"/>
  <c r="D103" i="7" a="1"/>
  <c r="D103" i="7" s="1"/>
  <c r="D5" i="7" a="1"/>
  <c r="D5" i="7" s="1"/>
  <c r="D312" i="7" a="1"/>
  <c r="D312" i="7" s="1"/>
  <c r="D104" i="7" a="1"/>
  <c r="D104" i="7"/>
  <c r="D201" i="7" a="1"/>
  <c r="D201" i="7" s="1"/>
  <c r="D313" i="7" a="1"/>
  <c r="D313" i="7" s="1"/>
  <c r="D314" i="7" a="1"/>
  <c r="D314" i="7" s="1"/>
  <c r="D202" i="7" a="1"/>
  <c r="D202" i="7" s="1"/>
  <c r="D315" i="7" a="1"/>
  <c r="D315" i="7" s="1"/>
  <c r="D6" i="7" a="1"/>
  <c r="D6" i="7" s="1"/>
  <c r="D316" i="7" a="1"/>
  <c r="D316" i="7" s="1"/>
  <c r="D317" i="7" a="1"/>
  <c r="D317" i="7" s="1"/>
  <c r="D105" i="7" a="1"/>
  <c r="D105" i="7" s="1"/>
  <c r="D7" i="7" a="1"/>
  <c r="D7" i="7" s="1"/>
  <c r="D318" i="7" a="1"/>
  <c r="D318" i="7" s="1"/>
  <c r="D8" i="7" a="1"/>
  <c r="D8" i="7" s="1"/>
  <c r="D319" i="7" a="1"/>
  <c r="D319" i="7" s="1"/>
  <c r="D203" i="7" a="1"/>
  <c r="D203" i="7"/>
  <c r="D204" i="7" a="1"/>
  <c r="D204" i="7" s="1"/>
  <c r="D106" i="7" a="1"/>
  <c r="D106" i="7" s="1"/>
  <c r="D205" i="7" a="1"/>
  <c r="D205" i="7" s="1"/>
  <c r="D9" i="7" a="1"/>
  <c r="D9" i="7" s="1"/>
  <c r="D320" i="7" a="1"/>
  <c r="D320" i="7" s="1"/>
  <c r="D206" i="7" a="1"/>
  <c r="D206" i="7" s="1"/>
  <c r="D10" i="7" a="1"/>
  <c r="D10" i="7" s="1"/>
  <c r="D321" i="7" a="1"/>
  <c r="D321" i="7" s="1"/>
  <c r="D207" i="7" a="1"/>
  <c r="D207" i="7" s="1"/>
  <c r="D11" i="7" a="1"/>
  <c r="D11" i="7" s="1"/>
  <c r="D12" i="7" a="1"/>
  <c r="D12" i="7" s="1"/>
  <c r="D13" i="7" a="1"/>
  <c r="D13" i="7" s="1"/>
  <c r="D322" i="7" a="1"/>
  <c r="D322" i="7" s="1"/>
  <c r="D14" i="7" a="1"/>
  <c r="D14" i="7" s="1"/>
  <c r="D208" i="7" a="1"/>
  <c r="D208" i="7" s="1"/>
  <c r="D107" i="7" a="1"/>
  <c r="D107" i="7" s="1"/>
  <c r="D323" i="7" a="1"/>
  <c r="D323" i="7" s="1"/>
  <c r="D108" i="7" a="1"/>
  <c r="D108" i="7" s="1"/>
  <c r="D15" i="7" a="1"/>
  <c r="D15" i="7"/>
  <c r="D209" i="7" a="1"/>
  <c r="D209" i="7" s="1"/>
  <c r="D210" i="7" a="1"/>
  <c r="D210" i="7" s="1"/>
  <c r="D324" i="7" a="1"/>
  <c r="D324" i="7" s="1"/>
  <c r="D16" i="7" a="1"/>
  <c r="D16" i="7" s="1"/>
  <c r="D109" i="7" a="1"/>
  <c r="D109" i="7" s="1"/>
  <c r="D110" i="7" a="1"/>
  <c r="D110" i="7" s="1"/>
  <c r="D17" i="7" a="1"/>
  <c r="D17" i="7"/>
  <c r="D211" i="7" a="1"/>
  <c r="D211" i="7" s="1"/>
  <c r="D325" i="7" a="1"/>
  <c r="D325" i="7" s="1"/>
  <c r="D326" i="7" a="1"/>
  <c r="D326" i="7" s="1"/>
  <c r="D111" i="7" a="1"/>
  <c r="D111" i="7"/>
  <c r="D112" i="7" a="1"/>
  <c r="D112" i="7" s="1"/>
  <c r="D212" i="7" a="1"/>
  <c r="D212" i="7" s="1"/>
  <c r="D18" i="7" a="1"/>
  <c r="D18" i="7" s="1"/>
  <c r="D19" i="7" a="1"/>
  <c r="D19" i="7" s="1"/>
  <c r="D113" i="7" a="1"/>
  <c r="D113" i="7" s="1"/>
  <c r="D213" i="7" a="1"/>
  <c r="D213" i="7"/>
  <c r="D20" i="7" a="1"/>
  <c r="D20" i="7" s="1"/>
  <c r="D214" i="7" a="1"/>
  <c r="D214" i="7"/>
  <c r="D114" i="7" a="1"/>
  <c r="D114" i="7" s="1"/>
  <c r="D327" i="7" a="1"/>
  <c r="D327" i="7"/>
  <c r="D215" i="7" a="1"/>
  <c r="D215" i="7" s="1"/>
  <c r="D328" i="7" a="1"/>
  <c r="D328" i="7" s="1"/>
  <c r="D329" i="7" a="1"/>
  <c r="D329" i="7"/>
  <c r="D216" i="7" a="1"/>
  <c r="D216" i="7" s="1"/>
  <c r="D330" i="7" a="1"/>
  <c r="D330" i="7"/>
  <c r="D331" i="7" a="1"/>
  <c r="D331" i="7" s="1"/>
  <c r="D217" i="7" a="1"/>
  <c r="D217" i="7" s="1"/>
  <c r="D115" i="7" a="1"/>
  <c r="D115" i="7" s="1"/>
  <c r="D332" i="7" a="1"/>
  <c r="D332" i="7" s="1"/>
  <c r="D21" i="7" a="1"/>
  <c r="D21" i="7" s="1"/>
  <c r="D333" i="7" a="1"/>
  <c r="D333" i="7" s="1"/>
  <c r="D116" i="7" a="1"/>
  <c r="D116" i="7" s="1"/>
  <c r="D334" i="7" a="1"/>
  <c r="D334" i="7"/>
  <c r="D218" i="7" a="1"/>
  <c r="D218" i="7" s="1"/>
  <c r="D335" i="7" a="1"/>
  <c r="D335" i="7" s="1"/>
  <c r="D219" i="7" a="1"/>
  <c r="D219" i="7"/>
  <c r="D22" i="7" a="1"/>
  <c r="D22" i="7" s="1"/>
  <c r="D336" i="7" a="1"/>
  <c r="D336" i="7" s="1"/>
  <c r="D220" i="7" a="1"/>
  <c r="D220" i="7"/>
  <c r="D23" i="7" a="1"/>
  <c r="D23" i="7" s="1"/>
  <c r="D24" i="7" a="1"/>
  <c r="D24" i="7" s="1"/>
  <c r="D25" i="7" a="1"/>
  <c r="D25" i="7" s="1"/>
  <c r="D117" i="7" a="1"/>
  <c r="D117" i="7" s="1"/>
  <c r="D118" i="7" a="1"/>
  <c r="D118" i="7" s="1"/>
  <c r="D26" i="7" a="1"/>
  <c r="D26" i="7" s="1"/>
  <c r="D337" i="7" a="1"/>
  <c r="D337" i="7" s="1"/>
  <c r="D221" i="7" a="1"/>
  <c r="D221" i="7" s="1"/>
  <c r="D119" i="7" a="1"/>
  <c r="D119" i="7" s="1"/>
  <c r="D27" i="7" a="1"/>
  <c r="D27" i="7" s="1"/>
  <c r="D222" i="7" a="1"/>
  <c r="D222" i="7" s="1"/>
  <c r="D338" i="7" a="1"/>
  <c r="D338" i="7" s="1"/>
  <c r="D223" i="7" a="1"/>
  <c r="D223" i="7" s="1"/>
  <c r="D120" i="7" a="1"/>
  <c r="D120" i="7" s="1"/>
  <c r="D224" i="7" a="1"/>
  <c r="D224" i="7" s="1"/>
  <c r="D28" i="7" a="1"/>
  <c r="D28" i="7" s="1"/>
  <c r="D29" i="7" a="1"/>
  <c r="D29" i="7" s="1"/>
  <c r="D30" i="7" a="1"/>
  <c r="D30" i="7" s="1"/>
  <c r="D31" i="7" a="1"/>
  <c r="D31" i="7" s="1"/>
  <c r="D339" i="7" a="1"/>
  <c r="D339" i="7" s="1"/>
  <c r="D121" i="7" a="1"/>
  <c r="D121" i="7" s="1"/>
  <c r="D122" i="7" a="1"/>
  <c r="D122" i="7" s="1"/>
  <c r="D340" i="7" a="1"/>
  <c r="D340" i="7" s="1"/>
  <c r="D32" i="7" a="1"/>
  <c r="D32" i="7" s="1"/>
  <c r="D33" i="7" a="1"/>
  <c r="D33" i="7" s="1"/>
  <c r="D123" i="7" a="1"/>
  <c r="D123" i="7" s="1"/>
  <c r="D225" i="7" a="1"/>
  <c r="D225" i="7" s="1"/>
  <c r="D226" i="7" a="1"/>
  <c r="D226" i="7" s="1"/>
  <c r="D124" i="7" a="1"/>
  <c r="D124" i="7" s="1"/>
  <c r="D227" i="7" a="1"/>
  <c r="D227" i="7" s="1"/>
  <c r="D341" i="7" a="1"/>
  <c r="D341" i="7" s="1"/>
  <c r="D125" i="7" a="1"/>
  <c r="D125" i="7" s="1"/>
  <c r="D126" i="7" a="1"/>
  <c r="D126" i="7" s="1"/>
  <c r="D228" i="7" a="1"/>
  <c r="D228" i="7" s="1"/>
  <c r="D127" i="7" a="1"/>
  <c r="D127" i="7" s="1"/>
  <c r="D128" i="7" a="1"/>
  <c r="D128" i="7" s="1"/>
  <c r="D229" i="7" a="1"/>
  <c r="D229" i="7" s="1"/>
  <c r="D34" i="7" a="1"/>
  <c r="D34" i="7" s="1"/>
  <c r="D230" i="7" a="1"/>
  <c r="D230" i="7" s="1"/>
  <c r="D129" i="7" a="1"/>
  <c r="D129" i="7" s="1"/>
  <c r="D231" i="7" a="1"/>
  <c r="D231" i="7" s="1"/>
  <c r="D232" i="7" a="1"/>
  <c r="D232" i="7" s="1"/>
  <c r="D130" i="7" a="1"/>
  <c r="D130" i="7" s="1"/>
  <c r="D131" i="7" a="1"/>
  <c r="D131" i="7" s="1"/>
  <c r="D233" i="7" a="1"/>
  <c r="D233" i="7" s="1"/>
  <c r="D234" i="7" a="1"/>
  <c r="D234" i="7" s="1"/>
  <c r="D132" i="7" a="1"/>
  <c r="D132" i="7" s="1"/>
  <c r="D235" i="7" a="1"/>
  <c r="D235" i="7" s="1"/>
  <c r="D342" i="7" a="1"/>
  <c r="D342" i="7" s="1"/>
  <c r="D343" i="7" a="1"/>
  <c r="D343" i="7" s="1"/>
  <c r="D344" i="7" a="1"/>
  <c r="D344" i="7" s="1"/>
  <c r="D236" i="7" a="1"/>
  <c r="D236" i="7" s="1"/>
  <c r="D237" i="7" a="1"/>
  <c r="D237" i="7" s="1"/>
  <c r="D345" i="7" a="1"/>
  <c r="D345" i="7" s="1"/>
  <c r="D133" i="7" a="1"/>
  <c r="D133" i="7" s="1"/>
  <c r="D134" i="7" a="1"/>
  <c r="D134" i="7" s="1"/>
  <c r="D135" i="7" a="1"/>
  <c r="D135" i="7" s="1"/>
  <c r="D136" i="7" a="1"/>
  <c r="D136" i="7"/>
  <c r="D346" i="7" a="1"/>
  <c r="D346" i="7" s="1"/>
  <c r="D347" i="7" a="1"/>
  <c r="D347" i="7" s="1"/>
  <c r="D35" i="7" a="1"/>
  <c r="D35" i="7" s="1"/>
  <c r="D348" i="7" a="1"/>
  <c r="D348" i="7" s="1"/>
  <c r="D137" i="7" a="1"/>
  <c r="D137" i="7" s="1"/>
  <c r="D138" i="7" a="1"/>
  <c r="D138" i="7" s="1"/>
  <c r="D349" i="7" a="1"/>
  <c r="D349" i="7" s="1"/>
  <c r="D238" i="7" a="1"/>
  <c r="D238" i="7" s="1"/>
  <c r="D139" i="7" a="1"/>
  <c r="D139" i="7" s="1"/>
  <c r="D239" i="7" a="1"/>
  <c r="D239" i="7" s="1"/>
  <c r="D140" i="7" a="1"/>
  <c r="D140" i="7" s="1"/>
  <c r="D141" i="7" a="1"/>
  <c r="D141" i="7" s="1"/>
  <c r="D350" i="7" a="1"/>
  <c r="D350" i="7" s="1"/>
  <c r="D142" i="7" a="1"/>
  <c r="D142" i="7" s="1"/>
  <c r="D351" i="7" a="1"/>
  <c r="D351" i="7" s="1"/>
  <c r="D36" i="7" a="1"/>
  <c r="D36" i="7" s="1"/>
  <c r="D143" i="7" a="1"/>
  <c r="D143" i="7" s="1"/>
  <c r="D37" i="7" a="1"/>
  <c r="D37" i="7" s="1"/>
  <c r="D38" i="7" a="1"/>
  <c r="D38" i="7" s="1"/>
  <c r="D39" i="7" a="1"/>
  <c r="D39" i="7" s="1"/>
  <c r="D144" i="7" a="1"/>
  <c r="D144" i="7" s="1"/>
  <c r="D352" i="7" a="1"/>
  <c r="D352" i="7" s="1"/>
  <c r="D145" i="7" a="1"/>
  <c r="D145" i="7" s="1"/>
  <c r="D353" i="7" a="1"/>
  <c r="D353" i="7" s="1"/>
  <c r="D240" i="7" a="1"/>
  <c r="D240" i="7" s="1"/>
  <c r="D354" i="7" a="1"/>
  <c r="D354" i="7" s="1"/>
  <c r="D241" i="7" a="1"/>
  <c r="D241" i="7" s="1"/>
  <c r="D242" i="7" a="1"/>
  <c r="D242" i="7" s="1"/>
  <c r="D40" i="7" a="1"/>
  <c r="D40" i="7" s="1"/>
  <c r="D41" i="7" a="1"/>
  <c r="D41" i="7" s="1"/>
  <c r="D355" i="7" a="1"/>
  <c r="D355" i="7" s="1"/>
  <c r="D146" i="7" a="1"/>
  <c r="D146" i="7" s="1"/>
  <c r="D243" i="7" a="1"/>
  <c r="D243" i="7" s="1"/>
  <c r="D42" i="7" a="1"/>
  <c r="D42" i="7" s="1"/>
  <c r="D244" i="7" a="1"/>
  <c r="D244" i="7" s="1"/>
  <c r="D147" i="7" a="1"/>
  <c r="D147" i="7" s="1"/>
  <c r="D43" i="7" a="1"/>
  <c r="D43" i="7" s="1"/>
  <c r="D44" i="7" a="1"/>
  <c r="D44" i="7" s="1"/>
  <c r="D245" i="7" a="1"/>
  <c r="D245" i="7" s="1"/>
  <c r="D246" i="7" a="1"/>
  <c r="D246" i="7" s="1"/>
  <c r="D148" i="7" a="1"/>
  <c r="D148" i="7" s="1"/>
  <c r="D356" i="7" a="1"/>
  <c r="D356" i="7" s="1"/>
  <c r="D45" i="7" a="1"/>
  <c r="D45" i="7" s="1"/>
  <c r="D46" i="7" a="1"/>
  <c r="D46" i="7" s="1"/>
  <c r="D149" i="7" a="1"/>
  <c r="D149" i="7" s="1"/>
  <c r="D47" i="7" a="1"/>
  <c r="D47" i="7" s="1"/>
  <c r="D357" i="7" a="1"/>
  <c r="D357" i="7" s="1"/>
  <c r="D358" i="7" a="1"/>
  <c r="D358" i="7" s="1"/>
  <c r="D150" i="7" a="1"/>
  <c r="D150" i="7" s="1"/>
  <c r="D151" i="7" a="1"/>
  <c r="D151" i="7" s="1"/>
  <c r="D48" i="7" a="1"/>
  <c r="D48" i="7" s="1"/>
  <c r="D152" i="7" a="1"/>
  <c r="D152" i="7" s="1"/>
  <c r="D49" i="7" a="1"/>
  <c r="D49" i="7" s="1"/>
  <c r="D247" i="7" a="1"/>
  <c r="D247" i="7" s="1"/>
  <c r="D248" i="7" a="1"/>
  <c r="D248" i="7" s="1"/>
  <c r="D359" i="7" a="1"/>
  <c r="D359" i="7" s="1"/>
  <c r="D50" i="7" a="1"/>
  <c r="D50" i="7" s="1"/>
  <c r="D153" i="7" a="1"/>
  <c r="D153" i="7" s="1"/>
  <c r="D360" i="7" a="1"/>
  <c r="D360" i="7" s="1"/>
  <c r="D361" i="7" a="1"/>
  <c r="D361" i="7" s="1"/>
  <c r="D154" i="7" a="1"/>
  <c r="D154" i="7" s="1"/>
  <c r="D155" i="7" a="1"/>
  <c r="D155" i="7" s="1"/>
  <c r="D362" i="7" a="1"/>
  <c r="D362" i="7" s="1"/>
  <c r="D156" i="7" a="1"/>
  <c r="D156" i="7" s="1"/>
  <c r="D157" i="7" a="1"/>
  <c r="D157" i="7" s="1"/>
  <c r="D249" i="7" a="1"/>
  <c r="D249" i="7" s="1"/>
  <c r="D363" i="7" a="1"/>
  <c r="D363" i="7" s="1"/>
  <c r="D364" i="7" a="1"/>
  <c r="D364" i="7" s="1"/>
  <c r="D51" i="7" a="1"/>
  <c r="D51" i="7" s="1"/>
  <c r="D250" i="7" a="1"/>
  <c r="D250" i="7" s="1"/>
  <c r="D158" i="7" a="1"/>
  <c r="D158" i="7" s="1"/>
  <c r="D251" i="7" a="1"/>
  <c r="D251" i="7"/>
  <c r="D365" i="7" a="1"/>
  <c r="D365" i="7"/>
  <c r="D366" i="7" a="1"/>
  <c r="D366" i="7" s="1"/>
  <c r="D52" i="7" a="1"/>
  <c r="D52" i="7"/>
  <c r="D252" i="7" a="1"/>
  <c r="D252" i="7" s="1"/>
  <c r="D159" i="7" a="1"/>
  <c r="D159" i="7" s="1"/>
  <c r="D253" i="7" a="1"/>
  <c r="D253" i="7" s="1"/>
  <c r="D53" i="7" a="1"/>
  <c r="D53" i="7" s="1"/>
  <c r="D160" i="7" a="1"/>
  <c r="D160" i="7" s="1"/>
  <c r="D161" i="7" a="1"/>
  <c r="D161" i="7" s="1"/>
  <c r="D367" i="7" a="1"/>
  <c r="D367" i="7" s="1"/>
  <c r="D254" i="7" a="1"/>
  <c r="D254" i="7"/>
  <c r="D162" i="7" a="1"/>
  <c r="D162" i="7"/>
  <c r="D163" i="7" a="1"/>
  <c r="D163" i="7" s="1"/>
  <c r="D164" i="7" a="1"/>
  <c r="D164" i="7" s="1"/>
  <c r="D165" i="7" a="1"/>
  <c r="D165" i="7" s="1"/>
  <c r="D255" i="7" a="1"/>
  <c r="D255" i="7" s="1"/>
  <c r="D166" i="7" a="1"/>
  <c r="D166" i="7" s="1"/>
  <c r="D256" i="7" a="1"/>
  <c r="D256" i="7" s="1"/>
  <c r="D167" i="7" a="1"/>
  <c r="D167" i="7" s="1"/>
  <c r="D54" i="7" a="1"/>
  <c r="D54" i="7" s="1"/>
  <c r="D55" i="7" a="1"/>
  <c r="D55" i="7" s="1"/>
  <c r="D257" i="7" a="1"/>
  <c r="D257" i="7" s="1"/>
  <c r="D368" i="7" a="1"/>
  <c r="D368" i="7" s="1"/>
  <c r="D369" i="7" a="1"/>
  <c r="D369" i="7" s="1"/>
  <c r="D370" i="7" a="1"/>
  <c r="D370" i="7"/>
  <c r="D258" i="7" a="1"/>
  <c r="D258" i="7" s="1"/>
  <c r="D259" i="7" a="1"/>
  <c r="D259" i="7" s="1"/>
  <c r="D56" i="7" a="1"/>
  <c r="D56" i="7" s="1"/>
  <c r="D57" i="7" a="1"/>
  <c r="D57" i="7"/>
  <c r="D168" i="7" a="1"/>
  <c r="D168" i="7"/>
  <c r="D371" i="7" a="1"/>
  <c r="D371" i="7" s="1"/>
  <c r="D260" i="7" a="1"/>
  <c r="D260" i="7" s="1"/>
  <c r="D372" i="7" a="1"/>
  <c r="D372" i="7"/>
  <c r="D373" i="7" a="1"/>
  <c r="D373" i="7" s="1"/>
  <c r="D58" i="7" a="1"/>
  <c r="D58" i="7" s="1"/>
  <c r="D59" i="7" a="1"/>
  <c r="D59" i="7" s="1"/>
  <c r="D261" i="7" a="1"/>
  <c r="D261" i="7" s="1"/>
  <c r="D60" i="7" a="1"/>
  <c r="D60" i="7" s="1"/>
  <c r="D262" i="7" a="1"/>
  <c r="D262" i="7" s="1"/>
  <c r="D263" i="7" a="1"/>
  <c r="D263" i="7" s="1"/>
  <c r="D374" i="7" a="1"/>
  <c r="D374" i="7" s="1"/>
  <c r="D264" i="7" a="1"/>
  <c r="D264" i="7" s="1"/>
  <c r="D169" i="7" a="1"/>
  <c r="D169" i="7" s="1"/>
  <c r="D170" i="7" a="1"/>
  <c r="D170" i="7" s="1"/>
  <c r="D265" i="7" a="1"/>
  <c r="D265" i="7" s="1"/>
  <c r="D61" i="7" a="1"/>
  <c r="D61" i="7" s="1"/>
  <c r="D171" i="7" a="1"/>
  <c r="D171" i="7" s="1"/>
  <c r="D266" i="7" a="1"/>
  <c r="D266" i="7" s="1"/>
  <c r="D62" i="7" a="1"/>
  <c r="D62" i="7" s="1"/>
  <c r="D267" i="7" a="1"/>
  <c r="D267" i="7" s="1"/>
  <c r="D63" i="7" a="1"/>
  <c r="D63" i="7" s="1"/>
  <c r="D268" i="7" a="1"/>
  <c r="D268" i="7" s="1"/>
  <c r="D172" i="7" a="1"/>
  <c r="D172" i="7" s="1"/>
  <c r="D269" i="7" a="1"/>
  <c r="D269" i="7" s="1"/>
  <c r="D270" i="7" a="1"/>
  <c r="D270" i="7" s="1"/>
  <c r="D64" i="7" a="1"/>
  <c r="D64" i="7" s="1"/>
  <c r="D65" i="7" a="1"/>
  <c r="D65" i="7" s="1"/>
  <c r="D271" i="7" a="1"/>
  <c r="D271" i="7" s="1"/>
  <c r="D375" i="7" a="1"/>
  <c r="D375" i="7" s="1"/>
  <c r="D376" i="7" a="1"/>
  <c r="D376" i="7" s="1"/>
  <c r="D272" i="7" a="1"/>
  <c r="D272" i="7" s="1"/>
  <c r="D66" i="7" a="1"/>
  <c r="D66" i="7" s="1"/>
  <c r="D173" i="7" a="1"/>
  <c r="D173" i="7" s="1"/>
  <c r="D273" i="7" a="1"/>
  <c r="D273" i="7" s="1"/>
  <c r="D274" i="7" a="1"/>
  <c r="D274" i="7" s="1"/>
  <c r="D174" i="7" a="1"/>
  <c r="D174" i="7" s="1"/>
  <c r="D175" i="7" a="1"/>
  <c r="D175" i="7" s="1"/>
  <c r="D67" i="7" a="1"/>
  <c r="D67" i="7" s="1"/>
  <c r="D176" i="7" a="1"/>
  <c r="D176" i="7" s="1"/>
  <c r="D177" i="7" a="1"/>
  <c r="D177" i="7" s="1"/>
  <c r="D68" i="7" a="1"/>
  <c r="D68" i="7" s="1"/>
  <c r="D275" i="7" a="1"/>
  <c r="D275" i="7" s="1"/>
  <c r="D276" i="7" a="1"/>
  <c r="D276" i="7" s="1"/>
  <c r="D277" i="7" a="1"/>
  <c r="D277" i="7" s="1"/>
  <c r="D278" i="7" a="1"/>
  <c r="D278" i="7" s="1"/>
  <c r="D178" i="7" a="1"/>
  <c r="D178" i="7" s="1"/>
  <c r="D69" i="7" a="1"/>
  <c r="D69" i="7" s="1"/>
  <c r="D179" i="7" a="1"/>
  <c r="D179" i="7" s="1"/>
  <c r="D70" i="7" a="1"/>
  <c r="D70" i="7" s="1"/>
  <c r="D180" i="7" a="1"/>
  <c r="D180" i="7" s="1"/>
  <c r="D279" i="7" a="1"/>
  <c r="D279" i="7" s="1"/>
  <c r="D377" i="7" a="1"/>
  <c r="D377" i="7" s="1"/>
  <c r="D71" i="7" a="1"/>
  <c r="D71" i="7" s="1"/>
  <c r="D181" i="7" a="1"/>
  <c r="D181" i="7" s="1"/>
  <c r="D72" i="7" a="1"/>
  <c r="D72" i="7" s="1"/>
  <c r="D280" i="7" a="1"/>
  <c r="D280" i="7" s="1"/>
  <c r="D182" i="7" a="1"/>
  <c r="D182" i="7" s="1"/>
  <c r="D73" i="7" a="1"/>
  <c r="D73" i="7" s="1"/>
  <c r="D378" i="7" a="1"/>
  <c r="D378" i="7" s="1"/>
  <c r="D281" i="7" a="1"/>
  <c r="D281" i="7" s="1"/>
  <c r="D74" i="7" a="1"/>
  <c r="D74" i="7" s="1"/>
  <c r="D183" i="7" a="1"/>
  <c r="D183" i="7" s="1"/>
  <c r="D379" i="7" a="1"/>
  <c r="D379" i="7" s="1"/>
  <c r="D75" i="7" a="1"/>
  <c r="D75" i="7" s="1"/>
  <c r="D380" i="7" a="1"/>
  <c r="D380" i="7" s="1"/>
  <c r="D184" i="7" a="1"/>
  <c r="D184" i="7" s="1"/>
  <c r="D282" i="7" a="1"/>
  <c r="D282" i="7"/>
  <c r="D381" i="7" a="1"/>
  <c r="D381" i="7" s="1"/>
  <c r="D283" i="7" a="1"/>
  <c r="D283" i="7" s="1"/>
  <c r="D284" i="7" a="1"/>
  <c r="D284" i="7" s="1"/>
  <c r="D76" i="7" a="1"/>
  <c r="D76" i="7" s="1"/>
  <c r="D285" i="7" a="1"/>
  <c r="D285" i="7"/>
  <c r="D77" i="7" a="1"/>
  <c r="D77" i="7" s="1"/>
  <c r="D185" i="7" a="1"/>
  <c r="D185" i="7"/>
  <c r="D286" i="7" a="1"/>
  <c r="D286" i="7"/>
  <c r="D78" i="7" a="1"/>
  <c r="D78" i="7" s="1"/>
  <c r="D79" i="7" a="1"/>
  <c r="D79" i="7" s="1"/>
  <c r="D80" i="7" a="1"/>
  <c r="D80" i="7" s="1"/>
  <c r="D382" i="7" a="1"/>
  <c r="D382" i="7" s="1"/>
  <c r="D186" i="7" a="1"/>
  <c r="D186" i="7" s="1"/>
  <c r="D383" i="7" a="1"/>
  <c r="D383" i="7" s="1"/>
  <c r="D81" i="7" a="1"/>
  <c r="D81" i="7" s="1"/>
  <c r="D82" i="7" a="1"/>
  <c r="D82" i="7"/>
  <c r="D187" i="7" a="1"/>
  <c r="D187" i="7" s="1"/>
  <c r="D384" i="7" a="1"/>
  <c r="D384" i="7" s="1"/>
  <c r="D287" i="7" a="1"/>
  <c r="D287" i="7" s="1"/>
  <c r="D288" i="7" a="1"/>
  <c r="D288" i="7" s="1"/>
  <c r="D385" i="7" a="1"/>
  <c r="D385" i="7" s="1"/>
  <c r="D386" i="7" a="1"/>
  <c r="D386" i="7" s="1"/>
  <c r="D387" i="7" a="1"/>
  <c r="D387" i="7" s="1"/>
  <c r="D188" i="7" a="1"/>
  <c r="D188" i="7" s="1"/>
  <c r="D289" i="7" a="1"/>
  <c r="D289" i="7" s="1"/>
  <c r="D290" i="7" a="1"/>
  <c r="D290" i="7" s="1"/>
  <c r="D189" i="7" a="1"/>
  <c r="D189" i="7" s="1"/>
  <c r="D83" i="7" a="1"/>
  <c r="D83" i="7" s="1"/>
  <c r="D190" i="7" a="1"/>
  <c r="D190" i="7" s="1"/>
  <c r="D84" i="7" a="1"/>
  <c r="D84" i="7" s="1"/>
  <c r="D191" i="7" a="1"/>
  <c r="D191" i="7" s="1"/>
  <c r="D192" i="7" a="1"/>
  <c r="D192" i="7" s="1"/>
  <c r="D291" i="7" a="1"/>
  <c r="D291" i="7" s="1"/>
  <c r="D292" i="7" a="1"/>
  <c r="D292" i="7" s="1"/>
  <c r="D193" i="7" a="1"/>
  <c r="D193" i="7" s="1"/>
  <c r="D85" i="7" a="1"/>
  <c r="D85" i="7" s="1"/>
  <c r="D388" i="7" a="1"/>
  <c r="D388" i="7" s="1"/>
  <c r="D389" i="7" a="1"/>
  <c r="D389" i="7" s="1"/>
  <c r="D86" i="7" a="1"/>
  <c r="D86" i="7" s="1"/>
  <c r="D390" i="7" a="1"/>
  <c r="D390" i="7" s="1"/>
  <c r="D293" i="7" a="1"/>
  <c r="D293" i="7" s="1"/>
  <c r="D87" i="7" a="1"/>
  <c r="D87" i="7"/>
  <c r="D391" i="7" a="1"/>
  <c r="D391" i="7" s="1"/>
  <c r="D294" i="7" a="1"/>
  <c r="D294" i="7" s="1"/>
  <c r="D392" i="7" a="1"/>
  <c r="D392" i="7" s="1"/>
  <c r="D295" i="7" a="1"/>
  <c r="D295" i="7" s="1"/>
  <c r="D88" i="7" a="1"/>
  <c r="D88" i="7" s="1"/>
  <c r="D89" i="7" a="1"/>
  <c r="D89" i="7" s="1"/>
  <c r="D194" i="7" a="1"/>
  <c r="D194" i="7" s="1"/>
  <c r="D393" i="7" a="1"/>
  <c r="D393" i="7" s="1"/>
  <c r="D296" i="7" a="1"/>
  <c r="D296" i="7"/>
  <c r="D394" i="7" a="1"/>
  <c r="D394" i="7" s="1"/>
  <c r="D297" i="7" a="1"/>
  <c r="D297" i="7" s="1"/>
  <c r="D395" i="7" a="1"/>
  <c r="D395" i="7" s="1"/>
  <c r="D396" i="7" a="1"/>
  <c r="D396" i="7" s="1"/>
  <c r="D397" i="7" a="1"/>
  <c r="D397" i="7" s="1"/>
  <c r="D195" i="7" a="1"/>
  <c r="D195" i="7" s="1"/>
  <c r="D298" i="7" a="1"/>
  <c r="D298" i="7" s="1"/>
  <c r="D398" i="7" a="1"/>
  <c r="D398" i="7" s="1"/>
  <c r="D90" i="7" a="1"/>
  <c r="D90" i="7" s="1"/>
  <c r="D91" i="7" a="1"/>
  <c r="D91" i="7" s="1"/>
  <c r="D92" i="7" a="1"/>
  <c r="D92" i="7" s="1"/>
  <c r="D299" i="7" a="1"/>
  <c r="D299" i="7" s="1"/>
  <c r="D300" i="7" a="1"/>
  <c r="D300" i="7" s="1"/>
  <c r="D301" i="7" a="1"/>
  <c r="D301" i="7" s="1"/>
  <c r="D399" i="7" a="1"/>
  <c r="D399" i="7" s="1"/>
  <c r="D302" i="7" a="1"/>
  <c r="D302" i="7" s="1"/>
  <c r="D196" i="7" a="1"/>
  <c r="D196" i="7" s="1"/>
  <c r="D93" i="7" a="1"/>
  <c r="D93" i="7" s="1"/>
  <c r="D94" i="7" a="1"/>
  <c r="D94" i="7" s="1"/>
  <c r="D303" i="7" a="1"/>
  <c r="D303" i="7" s="1"/>
  <c r="D400" i="7" a="1"/>
  <c r="D400" i="7"/>
  <c r="D304" i="7" a="1"/>
  <c r="D304" i="7" s="1"/>
  <c r="D95" i="7" a="1"/>
  <c r="D95" i="7" s="1"/>
  <c r="D96" i="7" a="1"/>
  <c r="D96" i="7" s="1"/>
  <c r="D197" i="7" a="1"/>
  <c r="D197" i="7" s="1"/>
  <c r="D305" i="7" a="1"/>
  <c r="D305" i="7" s="1"/>
  <c r="D306" i="7" a="1"/>
  <c r="D306" i="7" s="1"/>
  <c r="D198" i="7" a="1"/>
  <c r="D198" i="7" s="1"/>
  <c r="D97" i="7" a="1"/>
  <c r="D97" i="7"/>
  <c r="D401" i="7" a="1"/>
  <c r="D401" i="7" s="1"/>
  <c r="D98" i="7" a="1"/>
  <c r="D98" i="7" s="1"/>
  <c r="D307" i="7" a="1"/>
  <c r="D307" i="7" s="1"/>
  <c r="D99" i="7" a="1"/>
  <c r="D99" i="7" s="1"/>
  <c r="D100" i="7" a="1"/>
  <c r="D100" i="7" s="1"/>
  <c r="D199" i="7" a="1"/>
  <c r="D199" i="7" s="1"/>
  <c r="D101" i="7" a="1"/>
  <c r="D101" i="7" s="1"/>
  <c r="D200" i="7" a="1"/>
  <c r="D200" i="7" s="1"/>
  <c r="I27" i="6"/>
  <c r="I28" i="6"/>
  <c r="I29" i="6"/>
  <c r="I75" i="6"/>
  <c r="I31" i="6"/>
  <c r="I13" i="6"/>
  <c r="I33" i="6"/>
  <c r="I136" i="6"/>
  <c r="I35" i="6"/>
  <c r="I36" i="6"/>
  <c r="I15" i="6"/>
  <c r="I38" i="6"/>
  <c r="I39" i="6"/>
  <c r="I120" i="6"/>
  <c r="I41" i="6"/>
  <c r="I42" i="6"/>
  <c r="I43" i="6"/>
  <c r="I44" i="6"/>
  <c r="I45" i="6"/>
  <c r="I250" i="6"/>
  <c r="I47" i="6"/>
  <c r="I48" i="6"/>
  <c r="I220" i="6"/>
  <c r="I245" i="6"/>
  <c r="I51" i="6"/>
  <c r="I52" i="6"/>
  <c r="I53" i="6"/>
  <c r="I54" i="6"/>
  <c r="I76" i="6"/>
  <c r="I348" i="6"/>
  <c r="I333" i="6"/>
  <c r="I58" i="6"/>
  <c r="I164" i="6"/>
  <c r="I60" i="6"/>
  <c r="I61" i="6"/>
  <c r="I62" i="6"/>
  <c r="I321" i="6"/>
  <c r="I267" i="6"/>
  <c r="I325" i="6"/>
  <c r="I63" i="6"/>
  <c r="I67" i="6"/>
  <c r="I68" i="6"/>
  <c r="I69" i="6"/>
  <c r="I34" i="6"/>
  <c r="I71" i="6"/>
  <c r="I349" i="6"/>
  <c r="I73" i="6"/>
  <c r="I74" i="6"/>
  <c r="I165" i="6"/>
  <c r="I158" i="6"/>
  <c r="I390" i="6"/>
  <c r="I78" i="6"/>
  <c r="I121" i="6"/>
  <c r="I80" i="6"/>
  <c r="I297" i="6"/>
  <c r="I257" i="6"/>
  <c r="I124" i="6"/>
  <c r="I84" i="6"/>
  <c r="I20" i="6"/>
  <c r="I86" i="6"/>
  <c r="I87" i="6"/>
  <c r="I37" i="6"/>
  <c r="I77" i="6"/>
  <c r="I24" i="6"/>
  <c r="I91" i="6"/>
  <c r="I92" i="6"/>
  <c r="I93" i="6"/>
  <c r="I64" i="6"/>
  <c r="I95" i="6"/>
  <c r="I96" i="6"/>
  <c r="I371" i="6"/>
  <c r="I98" i="6"/>
  <c r="I99" i="6"/>
  <c r="I261" i="6"/>
  <c r="I101" i="6"/>
  <c r="I102" i="6"/>
  <c r="I103" i="6"/>
  <c r="I252" i="6"/>
  <c r="I105" i="6"/>
  <c r="I106" i="6"/>
  <c r="I107" i="6"/>
  <c r="I108" i="6"/>
  <c r="I109" i="6"/>
  <c r="I110" i="6"/>
  <c r="I111" i="6"/>
  <c r="I112" i="6"/>
  <c r="I234" i="6"/>
  <c r="I114" i="6"/>
  <c r="I115" i="6"/>
  <c r="I116" i="6"/>
  <c r="I89" i="6"/>
  <c r="I118" i="6"/>
  <c r="I119" i="6"/>
  <c r="I308" i="6"/>
  <c r="I138" i="6"/>
  <c r="I122" i="6"/>
  <c r="I123" i="6"/>
  <c r="I222" i="6"/>
  <c r="I335" i="6"/>
  <c r="I126" i="6"/>
  <c r="I127" i="6"/>
  <c r="I128" i="6"/>
  <c r="I193" i="6"/>
  <c r="I130" i="6"/>
  <c r="I131" i="6"/>
  <c r="I132" i="6"/>
  <c r="I133" i="6"/>
  <c r="I134" i="6"/>
  <c r="I135" i="6"/>
  <c r="I277" i="6"/>
  <c r="I137" i="6"/>
  <c r="I298" i="6"/>
  <c r="I394" i="6"/>
  <c r="I140" i="6"/>
  <c r="I141" i="6"/>
  <c r="I142" i="6"/>
  <c r="I143" i="6"/>
  <c r="I113" i="6"/>
  <c r="I145" i="6"/>
  <c r="I146" i="6"/>
  <c r="I147" i="6"/>
  <c r="I148" i="6"/>
  <c r="I286" i="6"/>
  <c r="I354" i="6"/>
  <c r="I151" i="6"/>
  <c r="I152" i="6"/>
  <c r="I150" i="6"/>
  <c r="I154" i="6"/>
  <c r="I155" i="6"/>
  <c r="I79" i="6"/>
  <c r="I157" i="6"/>
  <c r="I254" i="6"/>
  <c r="I159" i="6"/>
  <c r="I312" i="6"/>
  <c r="I355" i="6"/>
  <c r="I162" i="6"/>
  <c r="I194" i="6"/>
  <c r="I40" i="6"/>
  <c r="I255" i="6"/>
  <c r="I166" i="6"/>
  <c r="I289" i="6"/>
  <c r="I160" i="6"/>
  <c r="I248" i="6"/>
  <c r="I170" i="6"/>
  <c r="I171" i="6"/>
  <c r="I172" i="6"/>
  <c r="I173" i="6"/>
  <c r="I174" i="6"/>
  <c r="I175" i="6"/>
  <c r="I81" i="6"/>
  <c r="I90" i="6"/>
  <c r="I178" i="6"/>
  <c r="I179" i="6"/>
  <c r="I180" i="6"/>
  <c r="I181" i="6"/>
  <c r="I337" i="6"/>
  <c r="I183" i="6"/>
  <c r="I184" i="6"/>
  <c r="I185" i="6"/>
  <c r="I186" i="6"/>
  <c r="I187" i="6"/>
  <c r="I188" i="6"/>
  <c r="I189" i="6"/>
  <c r="I190" i="6"/>
  <c r="I191" i="6"/>
  <c r="I192" i="6"/>
  <c r="I395" i="6"/>
  <c r="I344" i="6"/>
  <c r="I195" i="6"/>
  <c r="I196" i="6"/>
  <c r="I378" i="6"/>
  <c r="I198" i="6"/>
  <c r="I199" i="6"/>
  <c r="I200" i="6"/>
  <c r="I201" i="6"/>
  <c r="I367" i="6"/>
  <c r="I46" i="6"/>
  <c r="I213" i="6"/>
  <c r="I205" i="6"/>
  <c r="I206" i="6"/>
  <c r="I207" i="6"/>
  <c r="I208" i="6"/>
  <c r="I347" i="6"/>
  <c r="I210" i="6"/>
  <c r="I211" i="6"/>
  <c r="I212" i="6"/>
  <c r="I169" i="6"/>
  <c r="I214" i="6"/>
  <c r="I215" i="6"/>
  <c r="I216" i="6"/>
  <c r="I217" i="6"/>
  <c r="I218" i="6"/>
  <c r="I219" i="6"/>
  <c r="I279" i="6"/>
  <c r="I221" i="6"/>
  <c r="I229" i="6"/>
  <c r="I223" i="6"/>
  <c r="I224" i="6"/>
  <c r="I225" i="6"/>
  <c r="I94" i="6"/>
  <c r="I227" i="6"/>
  <c r="I397" i="6"/>
  <c r="I153" i="6"/>
  <c r="I263" i="6"/>
  <c r="I231" i="6"/>
  <c r="I232" i="6"/>
  <c r="I233" i="6"/>
  <c r="I161" i="6"/>
  <c r="I268" i="6"/>
  <c r="I236" i="6"/>
  <c r="I237" i="6"/>
  <c r="I176" i="6"/>
  <c r="I239" i="6"/>
  <c r="I240" i="6"/>
  <c r="I241" i="6"/>
  <c r="I242" i="6"/>
  <c r="I243" i="6"/>
  <c r="I244" i="6"/>
  <c r="I369" i="6"/>
  <c r="I246" i="6"/>
  <c r="I247" i="6"/>
  <c r="I235" i="6"/>
  <c r="I249" i="6"/>
  <c r="I167" i="6"/>
  <c r="I251" i="6"/>
  <c r="I398" i="6"/>
  <c r="I253" i="6"/>
  <c r="I5" i="6"/>
  <c r="I30" i="6"/>
  <c r="I256" i="6"/>
  <c r="I226" i="6"/>
  <c r="I258" i="6"/>
  <c r="I259" i="6"/>
  <c r="I260" i="6"/>
  <c r="I117" i="6"/>
  <c r="I262" i="6"/>
  <c r="I271" i="6"/>
  <c r="I49" i="6"/>
  <c r="I163" i="6"/>
  <c r="I266" i="6"/>
  <c r="I125" i="6"/>
  <c r="I264" i="6"/>
  <c r="I269" i="6"/>
  <c r="I270" i="6"/>
  <c r="I177" i="6"/>
  <c r="I139" i="6"/>
  <c r="I273" i="6"/>
  <c r="I274" i="6"/>
  <c r="I275" i="6"/>
  <c r="I276" i="6"/>
  <c r="I197" i="6"/>
  <c r="I278" i="6"/>
  <c r="I300" i="6"/>
  <c r="I280" i="6"/>
  <c r="I281" i="6"/>
  <c r="I282" i="6"/>
  <c r="I283" i="6"/>
  <c r="I284" i="6"/>
  <c r="I285" i="6"/>
  <c r="I10" i="6"/>
  <c r="I287" i="6"/>
  <c r="I288" i="6"/>
  <c r="I313" i="6"/>
  <c r="I290" i="6"/>
  <c r="I291" i="6"/>
  <c r="I292" i="6"/>
  <c r="I182" i="6"/>
  <c r="I391" i="6"/>
  <c r="I295" i="6"/>
  <c r="I296" i="6"/>
  <c r="I339" i="6"/>
  <c r="I293" i="6"/>
  <c r="I299" i="6"/>
  <c r="I294" i="6"/>
  <c r="I301" i="6"/>
  <c r="I302" i="6"/>
  <c r="I303" i="6"/>
  <c r="I304" i="6"/>
  <c r="I305" i="6"/>
  <c r="I306" i="6"/>
  <c r="I307" i="6"/>
  <c r="I97" i="6"/>
  <c r="I309" i="6"/>
  <c r="I310" i="6"/>
  <c r="I311" i="6"/>
  <c r="I65" i="6"/>
  <c r="I11" i="6"/>
  <c r="I66" i="6"/>
  <c r="I328" i="6"/>
  <c r="I316" i="6"/>
  <c r="I82" i="6"/>
  <c r="I318" i="6"/>
  <c r="I319" i="6"/>
  <c r="I320" i="6"/>
  <c r="I50" i="6"/>
  <c r="I322" i="6"/>
  <c r="I323" i="6"/>
  <c r="I324" i="6"/>
  <c r="I100" i="6"/>
  <c r="I326" i="6"/>
  <c r="I327" i="6"/>
  <c r="I55" i="6"/>
  <c r="I329" i="6"/>
  <c r="I314" i="6"/>
  <c r="I331" i="6"/>
  <c r="I315" i="6"/>
  <c r="I272" i="6"/>
  <c r="I334" i="6"/>
  <c r="I144" i="6"/>
  <c r="I336" i="6"/>
  <c r="I129" i="6"/>
  <c r="I338" i="6"/>
  <c r="I32" i="6"/>
  <c r="I340" i="6"/>
  <c r="I341" i="6"/>
  <c r="I342" i="6"/>
  <c r="I343" i="6"/>
  <c r="I168" i="6"/>
  <c r="I345" i="6"/>
  <c r="I346" i="6"/>
  <c r="I330" i="6"/>
  <c r="I384" i="6"/>
  <c r="I202" i="6"/>
  <c r="I350" i="6"/>
  <c r="I351" i="6"/>
  <c r="I352" i="6"/>
  <c r="I353" i="6"/>
  <c r="I203" i="6"/>
  <c r="I228" i="6"/>
  <c r="I356" i="6"/>
  <c r="I357" i="6"/>
  <c r="I358" i="6"/>
  <c r="I359" i="6"/>
  <c r="I360" i="6"/>
  <c r="I361" i="6"/>
  <c r="I362" i="6"/>
  <c r="I363" i="6"/>
  <c r="I364" i="6"/>
  <c r="I365" i="6"/>
  <c r="I366" i="6"/>
  <c r="I83" i="6"/>
  <c r="I368" i="6"/>
  <c r="I332" i="6"/>
  <c r="I370" i="6"/>
  <c r="I70" i="6"/>
  <c r="I372" i="6"/>
  <c r="I373" i="6"/>
  <c r="I374" i="6"/>
  <c r="I375" i="6"/>
  <c r="I376" i="6"/>
  <c r="I377" i="6"/>
  <c r="I72" i="6"/>
  <c r="I379" i="6"/>
  <c r="I380" i="6"/>
  <c r="I381" i="6"/>
  <c r="I382" i="6"/>
  <c r="I383" i="6"/>
  <c r="I85" i="6"/>
  <c r="I230" i="6"/>
  <c r="I386" i="6"/>
  <c r="I387" i="6"/>
  <c r="I388" i="6"/>
  <c r="I389" i="6"/>
  <c r="I265" i="6"/>
  <c r="I56" i="6"/>
  <c r="I204" i="6"/>
  <c r="I393" i="6"/>
  <c r="I57" i="6"/>
  <c r="I59" i="6"/>
  <c r="I396" i="6"/>
  <c r="I149" i="6"/>
  <c r="I104" i="6"/>
  <c r="I399" i="6"/>
  <c r="I400" i="6"/>
  <c r="I401" i="6"/>
  <c r="I17" i="6"/>
  <c r="I18" i="6"/>
  <c r="I19" i="6"/>
  <c r="I392" i="6"/>
  <c r="I21" i="6"/>
  <c r="I22" i="6"/>
  <c r="I23" i="6"/>
  <c r="I209" i="6"/>
  <c r="I25" i="6"/>
  <c r="I26" i="6"/>
  <c r="I3" i="6"/>
  <c r="I4" i="6"/>
  <c r="I238" i="6"/>
  <c r="I6" i="6"/>
  <c r="I7" i="6"/>
  <c r="I8" i="6"/>
  <c r="I9" i="6"/>
  <c r="I317" i="6"/>
  <c r="I156" i="6"/>
  <c r="I12" i="6"/>
  <c r="I385" i="6"/>
  <c r="I14" i="6"/>
  <c r="I88" i="6"/>
  <c r="I16" i="6"/>
  <c r="I2" i="6"/>
  <c r="C9" i="6"/>
  <c r="C317" i="6"/>
  <c r="C156" i="6"/>
  <c r="C12" i="6"/>
  <c r="C385" i="6"/>
  <c r="C14" i="6"/>
  <c r="C88" i="6"/>
  <c r="C16" i="6"/>
  <c r="C17" i="6"/>
  <c r="C18" i="6"/>
  <c r="C19" i="6"/>
  <c r="C392" i="6"/>
  <c r="C21" i="6"/>
  <c r="C22" i="6"/>
  <c r="C23" i="6"/>
  <c r="C209" i="6"/>
  <c r="C25" i="6"/>
  <c r="C26" i="6"/>
  <c r="C27" i="6"/>
  <c r="C28" i="6"/>
  <c r="C29" i="6"/>
  <c r="C75" i="6"/>
  <c r="C31" i="6"/>
  <c r="C13" i="6"/>
  <c r="C33" i="6"/>
  <c r="C136" i="6"/>
  <c r="C35" i="6"/>
  <c r="C36" i="6"/>
  <c r="C15" i="6"/>
  <c r="C38" i="6"/>
  <c r="C39" i="6"/>
  <c r="C120" i="6"/>
  <c r="C41" i="6"/>
  <c r="C42" i="6"/>
  <c r="C43" i="6"/>
  <c r="C44" i="6"/>
  <c r="C45" i="6"/>
  <c r="C250" i="6"/>
  <c r="C47" i="6"/>
  <c r="C48" i="6"/>
  <c r="C220" i="6"/>
  <c r="C245" i="6"/>
  <c r="C51" i="6"/>
  <c r="C52" i="6"/>
  <c r="C53" i="6"/>
  <c r="C54" i="6"/>
  <c r="C76" i="6"/>
  <c r="C348" i="6"/>
  <c r="C333" i="6"/>
  <c r="C58" i="6"/>
  <c r="C164" i="6"/>
  <c r="C60" i="6"/>
  <c r="C61" i="6"/>
  <c r="C62" i="6"/>
  <c r="C321" i="6"/>
  <c r="C267" i="6"/>
  <c r="C325" i="6"/>
  <c r="C63" i="6"/>
  <c r="C67" i="6"/>
  <c r="C68" i="6"/>
  <c r="C69" i="6"/>
  <c r="C34" i="6"/>
  <c r="C71" i="6"/>
  <c r="C349" i="6"/>
  <c r="C73" i="6"/>
  <c r="C74" i="6"/>
  <c r="C165" i="6"/>
  <c r="C158" i="6"/>
  <c r="C390" i="6"/>
  <c r="C78" i="6"/>
  <c r="C121" i="6"/>
  <c r="C80" i="6"/>
  <c r="C297" i="6"/>
  <c r="C257" i="6"/>
  <c r="C124" i="6"/>
  <c r="C84" i="6"/>
  <c r="C20" i="6"/>
  <c r="C86" i="6"/>
  <c r="C87" i="6"/>
  <c r="C37" i="6"/>
  <c r="C77" i="6"/>
  <c r="C24" i="6"/>
  <c r="C91" i="6"/>
  <c r="C92" i="6"/>
  <c r="C93" i="6"/>
  <c r="C64" i="6"/>
  <c r="C95" i="6"/>
  <c r="C96" i="6"/>
  <c r="C371" i="6"/>
  <c r="C98" i="6"/>
  <c r="C99" i="6"/>
  <c r="C261" i="6"/>
  <c r="C101" i="6"/>
  <c r="C102" i="6"/>
  <c r="C103" i="6"/>
  <c r="C252" i="6"/>
  <c r="C105" i="6"/>
  <c r="C106" i="6"/>
  <c r="C107" i="6"/>
  <c r="C108" i="6"/>
  <c r="C109" i="6"/>
  <c r="C110" i="6"/>
  <c r="C111" i="6"/>
  <c r="C112" i="6"/>
  <c r="C234" i="6"/>
  <c r="C114" i="6"/>
  <c r="C115" i="6"/>
  <c r="C116" i="6"/>
  <c r="C89" i="6"/>
  <c r="C118" i="6"/>
  <c r="C119" i="6"/>
  <c r="C308" i="6"/>
  <c r="C138" i="6"/>
  <c r="C122" i="6"/>
  <c r="C123" i="6"/>
  <c r="C222" i="6"/>
  <c r="C335" i="6"/>
  <c r="C126" i="6"/>
  <c r="C127" i="6"/>
  <c r="C128" i="6"/>
  <c r="C193" i="6"/>
  <c r="C130" i="6"/>
  <c r="C131" i="6"/>
  <c r="C132" i="6"/>
  <c r="C133" i="6"/>
  <c r="C134" i="6"/>
  <c r="C135" i="6"/>
  <c r="C277" i="6"/>
  <c r="C137" i="6"/>
  <c r="C298" i="6"/>
  <c r="C394" i="6"/>
  <c r="C140" i="6"/>
  <c r="C141" i="6"/>
  <c r="C142" i="6"/>
  <c r="C143" i="6"/>
  <c r="C113" i="6"/>
  <c r="C145" i="6"/>
  <c r="C146" i="6"/>
  <c r="C147" i="6"/>
  <c r="C148" i="6"/>
  <c r="C286" i="6"/>
  <c r="C354" i="6"/>
  <c r="C151" i="6"/>
  <c r="C152" i="6"/>
  <c r="C150" i="6"/>
  <c r="C154" i="6"/>
  <c r="C155" i="6"/>
  <c r="C79" i="6"/>
  <c r="C157" i="6"/>
  <c r="C254" i="6"/>
  <c r="C159" i="6"/>
  <c r="C312" i="6"/>
  <c r="C355" i="6"/>
  <c r="C162" i="6"/>
  <c r="C194" i="6"/>
  <c r="C40" i="6"/>
  <c r="C255" i="6"/>
  <c r="C166" i="6"/>
  <c r="C289" i="6"/>
  <c r="C160" i="6"/>
  <c r="C248" i="6"/>
  <c r="C170" i="6"/>
  <c r="C171" i="6"/>
  <c r="C172" i="6"/>
  <c r="C173" i="6"/>
  <c r="C174" i="6"/>
  <c r="C175" i="6"/>
  <c r="C81" i="6"/>
  <c r="C90" i="6"/>
  <c r="C178" i="6"/>
  <c r="C179" i="6"/>
  <c r="C180" i="6"/>
  <c r="C181" i="6"/>
  <c r="C337" i="6"/>
  <c r="C183" i="6"/>
  <c r="C184" i="6"/>
  <c r="C185" i="6"/>
  <c r="C186" i="6"/>
  <c r="C187" i="6"/>
  <c r="C188" i="6"/>
  <c r="C189" i="6"/>
  <c r="C190" i="6"/>
  <c r="C191" i="6"/>
  <c r="C192" i="6"/>
  <c r="C395" i="6"/>
  <c r="C344" i="6"/>
  <c r="C195" i="6"/>
  <c r="C196" i="6"/>
  <c r="C378" i="6"/>
  <c r="C198" i="6"/>
  <c r="C199" i="6"/>
  <c r="C200" i="6"/>
  <c r="C201" i="6"/>
  <c r="C367" i="6"/>
  <c r="C46" i="6"/>
  <c r="C213" i="6"/>
  <c r="C205" i="6"/>
  <c r="C206" i="6"/>
  <c r="C207" i="6"/>
  <c r="C208" i="6"/>
  <c r="C347" i="6"/>
  <c r="C210" i="6"/>
  <c r="C211" i="6"/>
  <c r="C212" i="6"/>
  <c r="C169" i="6"/>
  <c r="C214" i="6"/>
  <c r="C215" i="6"/>
  <c r="C216" i="6"/>
  <c r="C217" i="6"/>
  <c r="C218" i="6"/>
  <c r="C219" i="6"/>
  <c r="C279" i="6"/>
  <c r="C221" i="6"/>
  <c r="C229" i="6"/>
  <c r="C223" i="6"/>
  <c r="C224" i="6"/>
  <c r="C225" i="6"/>
  <c r="C94" i="6"/>
  <c r="C227" i="6"/>
  <c r="C397" i="6"/>
  <c r="C153" i="6"/>
  <c r="C263" i="6"/>
  <c r="C231" i="6"/>
  <c r="C232" i="6"/>
  <c r="C233" i="6"/>
  <c r="C161" i="6"/>
  <c r="C268" i="6"/>
  <c r="C236" i="6"/>
  <c r="C237" i="6"/>
  <c r="C176" i="6"/>
  <c r="C239" i="6"/>
  <c r="C240" i="6"/>
  <c r="C241" i="6"/>
  <c r="C242" i="6"/>
  <c r="C243" i="6"/>
  <c r="C244" i="6"/>
  <c r="C369" i="6"/>
  <c r="C246" i="6"/>
  <c r="C247" i="6"/>
  <c r="C235" i="6"/>
  <c r="C249" i="6"/>
  <c r="C167" i="6"/>
  <c r="C251" i="6"/>
  <c r="C398" i="6"/>
  <c r="C253" i="6"/>
  <c r="C5" i="6"/>
  <c r="C30" i="6"/>
  <c r="C256" i="6"/>
  <c r="C226" i="6"/>
  <c r="C258" i="6"/>
  <c r="C259" i="6"/>
  <c r="C260" i="6"/>
  <c r="C117" i="6"/>
  <c r="C262" i="6"/>
  <c r="C271" i="6"/>
  <c r="C49" i="6"/>
  <c r="C163" i="6"/>
  <c r="C266" i="6"/>
  <c r="C125" i="6"/>
  <c r="C264" i="6"/>
  <c r="C269" i="6"/>
  <c r="C270" i="6"/>
  <c r="C177" i="6"/>
  <c r="C139" i="6"/>
  <c r="C273" i="6"/>
  <c r="C274" i="6"/>
  <c r="C275" i="6"/>
  <c r="C276" i="6"/>
  <c r="C197" i="6"/>
  <c r="C278" i="6"/>
  <c r="C300" i="6"/>
  <c r="C280" i="6"/>
  <c r="C281" i="6"/>
  <c r="C282" i="6"/>
  <c r="C283" i="6"/>
  <c r="C284" i="6"/>
  <c r="C285" i="6"/>
  <c r="C10" i="6"/>
  <c r="C287" i="6"/>
  <c r="C288" i="6"/>
  <c r="C313" i="6"/>
  <c r="C290" i="6"/>
  <c r="C291" i="6"/>
  <c r="C292" i="6"/>
  <c r="C182" i="6"/>
  <c r="C391" i="6"/>
  <c r="C295" i="6"/>
  <c r="C296" i="6"/>
  <c r="C339" i="6"/>
  <c r="C293" i="6"/>
  <c r="C299" i="6"/>
  <c r="C294" i="6"/>
  <c r="C301" i="6"/>
  <c r="C302" i="6"/>
  <c r="C303" i="6"/>
  <c r="C304" i="6"/>
  <c r="C305" i="6"/>
  <c r="C306" i="6"/>
  <c r="C307" i="6"/>
  <c r="C97" i="6"/>
  <c r="C309" i="6"/>
  <c r="C310" i="6"/>
  <c r="C311" i="6"/>
  <c r="C65" i="6"/>
  <c r="C11" i="6"/>
  <c r="C66" i="6"/>
  <c r="C328" i="6"/>
  <c r="C316" i="6"/>
  <c r="C82" i="6"/>
  <c r="C318" i="6"/>
  <c r="C319" i="6"/>
  <c r="C320" i="6"/>
  <c r="C50" i="6"/>
  <c r="C322" i="6"/>
  <c r="C323" i="6"/>
  <c r="C324" i="6"/>
  <c r="C100" i="6"/>
  <c r="C326" i="6"/>
  <c r="C327" i="6"/>
  <c r="C55" i="6"/>
  <c r="C329" i="6"/>
  <c r="C314" i="6"/>
  <c r="C331" i="6"/>
  <c r="C315" i="6"/>
  <c r="C272" i="6"/>
  <c r="C334" i="6"/>
  <c r="C144" i="6"/>
  <c r="C336" i="6"/>
  <c r="C129" i="6"/>
  <c r="C338" i="6"/>
  <c r="C32" i="6"/>
  <c r="C340" i="6"/>
  <c r="C341" i="6"/>
  <c r="C342" i="6"/>
  <c r="C343" i="6"/>
  <c r="C168" i="6"/>
  <c r="C345" i="6"/>
  <c r="C346" i="6"/>
  <c r="C330" i="6"/>
  <c r="C384" i="6"/>
  <c r="C202" i="6"/>
  <c r="C350" i="6"/>
  <c r="C351" i="6"/>
  <c r="C352" i="6"/>
  <c r="C353" i="6"/>
  <c r="C203" i="6"/>
  <c r="C228" i="6"/>
  <c r="C356" i="6"/>
  <c r="C357" i="6"/>
  <c r="C358" i="6"/>
  <c r="C359" i="6"/>
  <c r="C360" i="6"/>
  <c r="C361" i="6"/>
  <c r="C362" i="6"/>
  <c r="C363" i="6"/>
  <c r="C364" i="6"/>
  <c r="C365" i="6"/>
  <c r="C366" i="6"/>
  <c r="C83" i="6"/>
  <c r="C368" i="6"/>
  <c r="C332" i="6"/>
  <c r="C370" i="6"/>
  <c r="C70" i="6"/>
  <c r="C372" i="6"/>
  <c r="C373" i="6"/>
  <c r="C374" i="6"/>
  <c r="C375" i="6"/>
  <c r="C376" i="6"/>
  <c r="C377" i="6"/>
  <c r="C72" i="6"/>
  <c r="C379" i="6"/>
  <c r="C380" i="6"/>
  <c r="C381" i="6"/>
  <c r="C382" i="6"/>
  <c r="C383" i="6"/>
  <c r="C85" i="6"/>
  <c r="C230" i="6"/>
  <c r="C386" i="6"/>
  <c r="C387" i="6"/>
  <c r="C388" i="6"/>
  <c r="C389" i="6"/>
  <c r="C265" i="6"/>
  <c r="C56" i="6"/>
  <c r="C204" i="6"/>
  <c r="C393" i="6"/>
  <c r="C57" i="6"/>
  <c r="C59" i="6"/>
  <c r="C396" i="6"/>
  <c r="C149" i="6"/>
  <c r="C104" i="6"/>
  <c r="C399" i="6"/>
  <c r="C400" i="6"/>
  <c r="C401" i="6"/>
  <c r="C3" i="6"/>
  <c r="C4" i="6"/>
  <c r="C238" i="6"/>
  <c r="C6" i="6"/>
  <c r="C7" i="6"/>
  <c r="C8" i="6"/>
  <c r="C2" i="6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2" i="2"/>
  <c r="H2" i="12" l="1"/>
  <c r="H183" i="12"/>
  <c r="H388" i="12"/>
  <c r="H378" i="12"/>
  <c r="H368" i="12"/>
  <c r="H157" i="12"/>
  <c r="H353" i="12"/>
  <c r="H346" i="12"/>
  <c r="H135" i="12"/>
  <c r="H327" i="12"/>
  <c r="H121" i="12"/>
  <c r="H305" i="12"/>
  <c r="H297" i="12"/>
  <c r="H101" i="12"/>
  <c r="H92" i="12"/>
  <c r="H275" i="12"/>
  <c r="H267" i="12"/>
  <c r="H64" i="12"/>
  <c r="H253" i="12"/>
  <c r="H246" i="12"/>
  <c r="H39" i="12"/>
  <c r="H31" i="12"/>
  <c r="H223" i="12"/>
  <c r="H212" i="12"/>
  <c r="H12" i="12"/>
  <c r="H191" i="12"/>
  <c r="H11" i="12"/>
  <c r="H14" i="12"/>
  <c r="H6" i="12"/>
  <c r="H397" i="12"/>
  <c r="H387" i="12"/>
  <c r="H377" i="12"/>
  <c r="H164" i="12"/>
  <c r="H359" i="12"/>
  <c r="H147" i="12"/>
  <c r="H139" i="12"/>
  <c r="H334" i="12"/>
  <c r="H326" i="12"/>
  <c r="H120" i="12"/>
  <c r="H304" i="12"/>
  <c r="H295" i="12"/>
  <c r="H287" i="12"/>
  <c r="H281" i="12"/>
  <c r="H82" i="12"/>
  <c r="H74" i="12"/>
  <c r="H63" i="12"/>
  <c r="H56" i="12"/>
  <c r="H245" i="12"/>
  <c r="H38" i="12"/>
  <c r="H230" i="12"/>
  <c r="H222" i="12"/>
  <c r="H210" i="12"/>
  <c r="H10" i="12"/>
  <c r="H5" i="12"/>
  <c r="H182" i="12"/>
  <c r="H386" i="12"/>
  <c r="H170" i="12"/>
  <c r="H367" i="12"/>
  <c r="H358" i="12"/>
  <c r="H146" i="12"/>
  <c r="H138" i="12"/>
  <c r="H133" i="12"/>
  <c r="H325" i="12"/>
  <c r="H315" i="12"/>
  <c r="H115" i="12"/>
  <c r="H108" i="12"/>
  <c r="H286" i="12"/>
  <c r="H280" i="12"/>
  <c r="H81" i="12"/>
  <c r="H265" i="12"/>
  <c r="H260" i="12"/>
  <c r="H55" i="12"/>
  <c r="H46" i="12"/>
  <c r="H37" i="12"/>
  <c r="H229" i="12"/>
  <c r="H221" i="12"/>
  <c r="H209" i="12"/>
  <c r="H201" i="12"/>
  <c r="H9" i="12"/>
  <c r="H8" i="12"/>
  <c r="H200" i="12"/>
  <c r="H199" i="12"/>
  <c r="H244" i="12"/>
  <c r="H187" i="12"/>
  <c r="H180" i="12"/>
  <c r="H175" i="12"/>
  <c r="H167" i="12"/>
  <c r="H162" i="12"/>
  <c r="H153" i="12"/>
  <c r="H351" i="12"/>
  <c r="H341" i="12"/>
  <c r="H331" i="12"/>
  <c r="H124" i="12"/>
  <c r="H310" i="12"/>
  <c r="H302" i="12"/>
  <c r="H107" i="12"/>
  <c r="H99" i="12"/>
  <c r="H278" i="12"/>
  <c r="H79" i="12"/>
  <c r="H71" i="12"/>
  <c r="H60" i="12"/>
  <c r="H51" i="12"/>
  <c r="H242" i="12"/>
  <c r="H233" i="12"/>
  <c r="H26" i="12"/>
  <c r="H217" i="12"/>
  <c r="H17" i="12"/>
  <c r="H198" i="12"/>
  <c r="H207" i="12"/>
  <c r="H3" i="12"/>
  <c r="H393" i="12"/>
  <c r="H174" i="12"/>
  <c r="H374" i="12"/>
  <c r="H161" i="12"/>
  <c r="H356" i="12"/>
  <c r="H350" i="12"/>
  <c r="H340" i="12"/>
  <c r="H130" i="12"/>
  <c r="H123" i="12"/>
  <c r="H309" i="12"/>
  <c r="H301" i="12"/>
  <c r="H106" i="12"/>
  <c r="H282" i="12"/>
  <c r="H87" i="12"/>
  <c r="H78" i="12"/>
  <c r="H262" i="12"/>
  <c r="H257" i="12"/>
  <c r="H250" i="12"/>
  <c r="H241" i="12"/>
  <c r="H36" i="12"/>
  <c r="H227" i="12"/>
  <c r="H16" i="12"/>
  <c r="H197" i="12"/>
  <c r="H228" i="12"/>
  <c r="H206" i="12"/>
  <c r="H186" i="12"/>
  <c r="H392" i="12"/>
  <c r="H382" i="12"/>
  <c r="H373" i="12"/>
  <c r="H160" i="12"/>
  <c r="H152" i="12"/>
  <c r="H142" i="12"/>
  <c r="H339" i="12"/>
  <c r="H330" i="12"/>
  <c r="H321" i="12"/>
  <c r="H308" i="12"/>
  <c r="H111" i="12"/>
  <c r="H290" i="12"/>
  <c r="H98" i="12"/>
  <c r="H86" i="12"/>
  <c r="H270" i="12"/>
  <c r="H70" i="12"/>
  <c r="H59" i="12"/>
  <c r="H50" i="12"/>
  <c r="H43" i="12"/>
  <c r="H35" i="12"/>
  <c r="H226" i="12"/>
  <c r="H19" i="12"/>
  <c r="H15" i="12"/>
  <c r="H196" i="12"/>
  <c r="H185" i="12"/>
  <c r="H195" i="12"/>
  <c r="H391" i="12"/>
  <c r="H380" i="12"/>
  <c r="H371" i="12"/>
  <c r="H362" i="12"/>
  <c r="H355" i="12"/>
  <c r="H349" i="12"/>
  <c r="H337" i="12"/>
  <c r="H128" i="12"/>
  <c r="H319" i="12"/>
  <c r="H306" i="12"/>
  <c r="H299" i="12"/>
  <c r="H104" i="12"/>
  <c r="H96" i="12"/>
  <c r="H85" i="12"/>
  <c r="H268" i="12"/>
  <c r="H68" i="12"/>
  <c r="H255" i="12"/>
  <c r="H249" i="12"/>
  <c r="H240" i="12"/>
  <c r="H232" i="12"/>
  <c r="H225" i="12"/>
  <c r="H18" i="12"/>
  <c r="H203" i="12"/>
  <c r="H194" i="12"/>
  <c r="H401" i="12"/>
  <c r="H390" i="12"/>
  <c r="H173" i="12"/>
  <c r="H166" i="12"/>
  <c r="H159" i="12"/>
  <c r="H354" i="12"/>
  <c r="H140" i="12"/>
  <c r="H336" i="12"/>
  <c r="H329" i="12"/>
  <c r="H318" i="12"/>
  <c r="H119" i="12"/>
  <c r="H110" i="12"/>
  <c r="H103" i="12"/>
  <c r="H95" i="12"/>
  <c r="H84" i="12"/>
  <c r="H77" i="12"/>
  <c r="H67" i="12"/>
  <c r="H58" i="12"/>
  <c r="H248" i="12"/>
  <c r="H239" i="12"/>
  <c r="H33" i="12"/>
  <c r="H24" i="12"/>
  <c r="H215" i="12"/>
  <c r="H202" i="12"/>
  <c r="H193" i="12"/>
  <c r="H7" i="12"/>
  <c r="H399" i="12"/>
  <c r="H178" i="12"/>
  <c r="H172" i="12"/>
  <c r="H369" i="12"/>
  <c r="H158" i="12"/>
  <c r="H149" i="12"/>
  <c r="H347" i="12"/>
  <c r="H136" i="12"/>
  <c r="H127" i="12"/>
  <c r="H317" i="12"/>
  <c r="H117" i="12"/>
  <c r="H298" i="12"/>
  <c r="H289" i="12"/>
  <c r="H93" i="12"/>
  <c r="H75" i="12"/>
  <c r="H65" i="12"/>
  <c r="H48" i="12"/>
  <c r="H40" i="12"/>
  <c r="H231" i="12"/>
  <c r="H23" i="12"/>
  <c r="H213" i="12"/>
  <c r="H13" i="12"/>
  <c r="H192" i="12"/>
  <c r="G402" i="2"/>
  <c r="H402" i="2"/>
  <c r="I402" i="2"/>
  <c r="J402" i="2"/>
  <c r="K402" i="2"/>
  <c r="L402" i="2"/>
  <c r="M40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<sst xmlns="http://schemas.openxmlformats.org/spreadsheetml/2006/main" count="19090" uniqueCount="1150">
  <si>
    <t>Timestamp</t>
  </si>
  <si>
    <t xml:space="preserve">1. Name   (Optional): </t>
  </si>
  <si>
    <t>2. Employee ID   (Optional):</t>
  </si>
  <si>
    <t xml:space="preserve">3. Age (in Yrs) : </t>
  </si>
  <si>
    <t xml:space="preserve">4. Gender : </t>
  </si>
  <si>
    <t>5. Designation:</t>
  </si>
  <si>
    <t>6. Department:</t>
  </si>
  <si>
    <t>7. Marital Status:</t>
  </si>
  <si>
    <t>8. Years of Service in ONGC(Completed) :</t>
  </si>
  <si>
    <t>9 . Which of the following welfare schemes have you availed? (Select all that apply)</t>
  </si>
  <si>
    <t>10 . How frequently do you use any of the above schemes?</t>
  </si>
  <si>
    <t>11 . Estimated number of times you've used ONGC medical or housing facilities in the past year:</t>
  </si>
  <si>
    <t>12 . Welfare Scheme</t>
  </si>
  <si>
    <t>13 . Medical Facilities (Dispensary/Hospital)</t>
  </si>
  <si>
    <t>14 . Quality of Canteen Services</t>
  </si>
  <si>
    <t>15 . Quality of Canteen Services</t>
  </si>
  <si>
    <t>16 . Housing &amp; Accommodation</t>
  </si>
  <si>
    <t>17 . ONGC Schooling Facilities</t>
  </si>
  <si>
    <t>18 . RWA Community Activities</t>
  </si>
  <si>
    <t>19 . Conveyance / Transport Support</t>
  </si>
  <si>
    <t>20 . Employment Assistance</t>
  </si>
  <si>
    <t>21 . Has participation in ONGC welfare schemes influenced your decision to stay with the organization?</t>
  </si>
  <si>
    <t>22 . Do you feel more productive or engaged at work due to access to these welfare schemes?</t>
  </si>
  <si>
    <t>23 . Self-assess your overall job performance in the last year:</t>
  </si>
  <si>
    <t>24 . Have you taken sick leave in the past 6 months?</t>
  </si>
  <si>
    <t>25 . How would you rate the overall cost-benefit of ONGC welfare schemes to employees?</t>
  </si>
  <si>
    <t>26 . Have you ever considered leaving ONGC? If yes, did welfare schemes influence you to stay?</t>
  </si>
  <si>
    <t xml:space="preserve"> 27 . How do ONGC’s welfare schemes compare to those in other organizations?</t>
  </si>
  <si>
    <t>28 . What improvements would you suggest in existing welfare schemes ?</t>
  </si>
  <si>
    <t>29 . Any additional comments or suggestions?</t>
  </si>
  <si>
    <t>2025-06-30 15:46:53</t>
  </si>
  <si>
    <t>Mohanlal Vaidya</t>
  </si>
  <si>
    <t>Mannat Date</t>
  </si>
  <si>
    <t>Shlok De</t>
  </si>
  <si>
    <t>Charvi Dhingra</t>
  </si>
  <si>
    <t>Aarna Sastry</t>
  </si>
  <si>
    <t>Aaina Shere</t>
  </si>
  <si>
    <t>Damini Gour</t>
  </si>
  <si>
    <t>Nirvi Doctor</t>
  </si>
  <si>
    <t>Purab Grover</t>
  </si>
  <si>
    <t>Akarsh Varghese</t>
  </si>
  <si>
    <t>Kabir Batta</t>
  </si>
  <si>
    <t>Hridaan Golla</t>
  </si>
  <si>
    <t>Divit Barad</t>
  </si>
  <si>
    <t>Drishya Balasubramanian</t>
  </si>
  <si>
    <t>Chirag Manda</t>
  </si>
  <si>
    <t>Prisha Bajaj</t>
  </si>
  <si>
    <t>Kartik Goyal</t>
  </si>
  <si>
    <t>Taran Krishnan</t>
  </si>
  <si>
    <t>Biju Kapur</t>
  </si>
  <si>
    <t>Adira Viswanathan</t>
  </si>
  <si>
    <t>Shalv Ray</t>
  </si>
  <si>
    <t>Neelofar Mannan</t>
  </si>
  <si>
    <t>Saira Varkey</t>
  </si>
  <si>
    <t>Purab Sodhi</t>
  </si>
  <si>
    <t>Divyansh Magar</t>
  </si>
  <si>
    <t>Elakshi Jhaveri</t>
  </si>
  <si>
    <t>Sara Ranganathan</t>
  </si>
  <si>
    <t>Advik Thakur</t>
  </si>
  <si>
    <t>Ivana Desai</t>
  </si>
  <si>
    <t>Kaira Kaur</t>
  </si>
  <si>
    <t>Tarini Ramakrishnan</t>
  </si>
  <si>
    <t>Amira Sibal</t>
  </si>
  <si>
    <t>Faiyaz Gola</t>
  </si>
  <si>
    <t>Lakshit Thakkar</t>
  </si>
  <si>
    <t>Mohanlal Bahri</t>
  </si>
  <si>
    <t>Yasmin Thakkar</t>
  </si>
  <si>
    <t>Emir Bhargava</t>
  </si>
  <si>
    <t>Dishani Das</t>
  </si>
  <si>
    <t>Tiya Zacharia</t>
  </si>
  <si>
    <t>Purab Wason</t>
  </si>
  <si>
    <t>Nayantara Maharaj</t>
  </si>
  <si>
    <t>Rohan Kaur</t>
  </si>
  <si>
    <t>Biju Sarna</t>
  </si>
  <si>
    <t>Reyansh Chaudry</t>
  </si>
  <si>
    <t>Ranbir Bhatt</t>
  </si>
  <si>
    <t>Raghav Kothari</t>
  </si>
  <si>
    <t>Nehmat Krishna</t>
  </si>
  <si>
    <t>Madhup Comar</t>
  </si>
  <si>
    <t>Dishani Sridhar</t>
  </si>
  <si>
    <t>Vaibhav Banik</t>
  </si>
  <si>
    <t>Sahil Deo</t>
  </si>
  <si>
    <t>Ivana Ramakrishnan</t>
  </si>
  <si>
    <t>Tarini Karpe</t>
  </si>
  <si>
    <t>Ayesha Mani</t>
  </si>
  <si>
    <t>Devansh Kamdar</t>
  </si>
  <si>
    <t>Dhanush Gulati</t>
  </si>
  <si>
    <t>Baiju Bala</t>
  </si>
  <si>
    <t>Neysa Balan</t>
  </si>
  <si>
    <t>Indranil Sarma</t>
  </si>
  <si>
    <t>Armaan Kakar</t>
  </si>
  <si>
    <t>Faiyaz Ghose</t>
  </si>
  <si>
    <t>Tanya Sundaram</t>
  </si>
  <si>
    <t>Reyansh Sangha</t>
  </si>
  <si>
    <t>Yuvaan Date</t>
  </si>
  <si>
    <t>Divyansh Dhar</t>
  </si>
  <si>
    <t>Vivaan Deshpande</t>
  </si>
  <si>
    <t>Ahana  Khare</t>
  </si>
  <si>
    <t>Vaibhav Choudhary</t>
  </si>
  <si>
    <t>Rasha Viswanathan</t>
  </si>
  <si>
    <t>Tarini Kapoor</t>
  </si>
  <si>
    <t>Samaira Mander</t>
  </si>
  <si>
    <t>Ela Sant</t>
  </si>
  <si>
    <t>Zain Dube</t>
  </si>
  <si>
    <t>Prisha Chacko</t>
  </si>
  <si>
    <t>Ivan Barad</t>
  </si>
  <si>
    <t>Anya Varma</t>
  </si>
  <si>
    <t>Ritvik Vora</t>
  </si>
  <si>
    <t>Aarna Dutt</t>
  </si>
  <si>
    <t>Amira Dhaliwal</t>
  </si>
  <si>
    <t>Alia Balasubramanian</t>
  </si>
  <si>
    <t>Zain Doctor</t>
  </si>
  <si>
    <t>Kashvi Toor</t>
  </si>
  <si>
    <t>Manikya Dar</t>
  </si>
  <si>
    <t>Devansh Datta</t>
  </si>
  <si>
    <t>Mehul Kata</t>
  </si>
  <si>
    <t>Heer Saha</t>
  </si>
  <si>
    <t>Amani Buch</t>
  </si>
  <si>
    <t>Ahana  Kala</t>
  </si>
  <si>
    <t>Lavanya Samra</t>
  </si>
  <si>
    <t>Ivana Doctor</t>
  </si>
  <si>
    <t>Zain Bansal</t>
  </si>
  <si>
    <t>Eva Edwin</t>
  </si>
  <si>
    <t>Renee Ganesh</t>
  </si>
  <si>
    <t>Ritvik Choudhury</t>
  </si>
  <si>
    <t>Mohanlal Thaker</t>
  </si>
  <si>
    <t>Shalv Vora</t>
  </si>
  <si>
    <t>Misha Gala</t>
  </si>
  <si>
    <t>Amira Deshpande</t>
  </si>
  <si>
    <t>Ivana Shetty</t>
  </si>
  <si>
    <t>Armaan Garg</t>
  </si>
  <si>
    <t>ONGC2824</t>
  </si>
  <si>
    <t>ONGC6574</t>
  </si>
  <si>
    <t>ONGC7227</t>
  </si>
  <si>
    <t>ONGC4456</t>
  </si>
  <si>
    <t>ONGC7304</t>
  </si>
  <si>
    <t>ONGC6310</t>
  </si>
  <si>
    <t>ONGC2982</t>
  </si>
  <si>
    <t>ONGC2545</t>
  </si>
  <si>
    <t>ONGC2235</t>
  </si>
  <si>
    <t>ONGC3536</t>
  </si>
  <si>
    <t>ONGC5272</t>
  </si>
  <si>
    <t>ONGC8179</t>
  </si>
  <si>
    <t>ONGC2512</t>
  </si>
  <si>
    <t>ONGC5088</t>
  </si>
  <si>
    <t>ONGC6000</t>
  </si>
  <si>
    <t>ONGC7311</t>
  </si>
  <si>
    <t>ONGC5930</t>
  </si>
  <si>
    <t>ONGC1400</t>
  </si>
  <si>
    <t>ONGC9702</t>
  </si>
  <si>
    <t>ONGC9849</t>
  </si>
  <si>
    <t>ONGC8999</t>
  </si>
  <si>
    <t>ONGC8449</t>
  </si>
  <si>
    <t>ONGC8619</t>
  </si>
  <si>
    <t>ONGC1207</t>
  </si>
  <si>
    <t>ONGC9098</t>
  </si>
  <si>
    <t>ONGC4986</t>
  </si>
  <si>
    <t>ONGC2647</t>
  </si>
  <si>
    <t>ONGC8827</t>
  </si>
  <si>
    <t>ONGC5335</t>
  </si>
  <si>
    <t>ONGC3441</t>
  </si>
  <si>
    <t>ONGC5415</t>
  </si>
  <si>
    <t>ONGC1601</t>
  </si>
  <si>
    <t>ONGC4920</t>
  </si>
  <si>
    <t>ONGC7798</t>
  </si>
  <si>
    <t>ONGC7246</t>
  </si>
  <si>
    <t>ONGC9864</t>
  </si>
  <si>
    <t>ONGC3950</t>
  </si>
  <si>
    <t>ONGC4263</t>
  </si>
  <si>
    <t>ONGC6977</t>
  </si>
  <si>
    <t>ONGC1228</t>
  </si>
  <si>
    <t>ONGC4846</t>
  </si>
  <si>
    <t>ONGC1992</t>
  </si>
  <si>
    <t>ONGC3858</t>
  </si>
  <si>
    <t>ONGC8504</t>
  </si>
  <si>
    <t>ONGC7779</t>
  </si>
  <si>
    <t>ONGC7929</t>
  </si>
  <si>
    <t>ONGC1100</t>
  </si>
  <si>
    <t>ONGC2336</t>
  </si>
  <si>
    <t>ONGC5742</t>
  </si>
  <si>
    <t>ONGC7636</t>
  </si>
  <si>
    <t>ONGC4871</t>
  </si>
  <si>
    <t>ONGC8404</t>
  </si>
  <si>
    <t>ONGC8199</t>
  </si>
  <si>
    <t>ONGC3112</t>
  </si>
  <si>
    <t>ONGC2657</t>
  </si>
  <si>
    <t>ONGC8218</t>
  </si>
  <si>
    <t>ONGC8391</t>
  </si>
  <si>
    <t>ONGC5193</t>
  </si>
  <si>
    <t>ONGC4941</t>
  </si>
  <si>
    <t>ONGC9945</t>
  </si>
  <si>
    <t>ONGC6438</t>
  </si>
  <si>
    <t>ONGC3730</t>
  </si>
  <si>
    <t>ONGC8371</t>
  </si>
  <si>
    <t>ONGC2213</t>
  </si>
  <si>
    <t>ONGC2412</t>
  </si>
  <si>
    <t>ONGC4694</t>
  </si>
  <si>
    <t>ONGC5949</t>
  </si>
  <si>
    <t>ONGC8366</t>
  </si>
  <si>
    <t>ONGC1797</t>
  </si>
  <si>
    <t>ONGC2946</t>
  </si>
  <si>
    <t>ONGC6511</t>
  </si>
  <si>
    <t>ONGC4125</t>
  </si>
  <si>
    <t>ONGC5571</t>
  </si>
  <si>
    <t>ONGC8849</t>
  </si>
  <si>
    <t>ONGC8822</t>
  </si>
  <si>
    <t>ONGC8444</t>
  </si>
  <si>
    <t>ONGC4027</t>
  </si>
  <si>
    <t>ONGC4590</t>
  </si>
  <si>
    <t>ONGC9008</t>
  </si>
  <si>
    <t>ONGC5703</t>
  </si>
  <si>
    <t>ONGC8546</t>
  </si>
  <si>
    <t>ONGC1924</t>
  </si>
  <si>
    <t>ONGC5913</t>
  </si>
  <si>
    <t>ONGC7179</t>
  </si>
  <si>
    <t>ONGC9401</t>
  </si>
  <si>
    <t>ONGC5216</t>
  </si>
  <si>
    <t>ONGC7114</t>
  </si>
  <si>
    <t>ONGC7502</t>
  </si>
  <si>
    <t>ONGC9653</t>
  </si>
  <si>
    <t>ONGC2284</t>
  </si>
  <si>
    <t>ONGC5037</t>
  </si>
  <si>
    <t>ONGC2524</t>
  </si>
  <si>
    <t>ONGC8933</t>
  </si>
  <si>
    <t>ONGC7524</t>
  </si>
  <si>
    <t>ONGC7932</t>
  </si>
  <si>
    <t>ONGC9366</t>
  </si>
  <si>
    <t>ONGC9537</t>
  </si>
  <si>
    <t>ONGC7481</t>
  </si>
  <si>
    <t>ONGC6700</t>
  </si>
  <si>
    <t>ONGC9022</t>
  </si>
  <si>
    <t>Male</t>
  </si>
  <si>
    <t>Female</t>
  </si>
  <si>
    <t>Accounts Officer</t>
  </si>
  <si>
    <t>HR Manager</t>
  </si>
  <si>
    <t>Technician</t>
  </si>
  <si>
    <t>Executive Engineer</t>
  </si>
  <si>
    <t>Medical Officer</t>
  </si>
  <si>
    <t>Production</t>
  </si>
  <si>
    <t>HR</t>
  </si>
  <si>
    <t>Finance</t>
  </si>
  <si>
    <t>Medical</t>
  </si>
  <si>
    <t>Drilling</t>
  </si>
  <si>
    <t>Transport</t>
  </si>
  <si>
    <t>Married</t>
  </si>
  <si>
    <t>Single</t>
  </si>
  <si>
    <t>Divorced</t>
  </si>
  <si>
    <t>Medical, Employment Assistance, Schooling</t>
  </si>
  <si>
    <t>Medical, Transport</t>
  </si>
  <si>
    <t>Employment Assistance</t>
  </si>
  <si>
    <t>Employment Assistance, Medical, Schooling</t>
  </si>
  <si>
    <t>Housing</t>
  </si>
  <si>
    <t>Housing, Medical, Employment Assistance</t>
  </si>
  <si>
    <t>Community Activities, Employment Assistance</t>
  </si>
  <si>
    <t>Transport, Housing, Canteen</t>
  </si>
  <si>
    <t>Community Activities</t>
  </si>
  <si>
    <t>Transport, Medical</t>
  </si>
  <si>
    <t>Community Activities, Schooling, Housing</t>
  </si>
  <si>
    <t>Community Activities, Schooling</t>
  </si>
  <si>
    <t>Employment Assistance, Schooling</t>
  </si>
  <si>
    <t>Housing, Medical, Canteen</t>
  </si>
  <si>
    <t>Employment Assistance, Community Activities</t>
  </si>
  <si>
    <t>Canteen</t>
  </si>
  <si>
    <t>Housing, Canteen, Community Activities</t>
  </si>
  <si>
    <t>Transport, Schooling</t>
  </si>
  <si>
    <t>Canteen, Employment Assistance</t>
  </si>
  <si>
    <t>Employment Assistance, Schooling, Transport</t>
  </si>
  <si>
    <t>Housing, Schooling</t>
  </si>
  <si>
    <t>Schooling, Employment Assistance, Canteen</t>
  </si>
  <si>
    <t>Schooling, Transport, Medical</t>
  </si>
  <si>
    <t>Schooling, Housing</t>
  </si>
  <si>
    <t>Transport, Employment Assistance, Community Activities</t>
  </si>
  <si>
    <t>Canteen, Employment Assistance, Transport</t>
  </si>
  <si>
    <t>Schooling, Employment Assistance</t>
  </si>
  <si>
    <t>Housing, Employment Assistance, Schooling</t>
  </si>
  <si>
    <t>Schooling</t>
  </si>
  <si>
    <t>Employment Assistance, Canteen</t>
  </si>
  <si>
    <t>Canteen, Transport</t>
  </si>
  <si>
    <t>Schooling, Housing, Employment Assistance</t>
  </si>
  <si>
    <t>Transport, Housing</t>
  </si>
  <si>
    <t>Medical, Housing, Canteen</t>
  </si>
  <si>
    <t>Schooling, Community Activities, Canteen</t>
  </si>
  <si>
    <t>Canteen, Community Activities</t>
  </si>
  <si>
    <t>Housing, Schooling, Canteen</t>
  </si>
  <si>
    <t>Housing, Canteen</t>
  </si>
  <si>
    <t>Schooling, Community Activities, Employment Assistance</t>
  </si>
  <si>
    <t>Housing, Community Activities, Medical</t>
  </si>
  <si>
    <t>Canteen, Transport, Medical</t>
  </si>
  <si>
    <t>Transport, Canteen, Community Activities</t>
  </si>
  <si>
    <t>Transport, Employment Assistance, Medical</t>
  </si>
  <si>
    <t>Canteen, Community Activities, Schooling</t>
  </si>
  <si>
    <t>Schooling, Transport, Housing</t>
  </si>
  <si>
    <t>Canteen, Housing, Employment Assistance</t>
  </si>
  <si>
    <t>Schooling, Medical</t>
  </si>
  <si>
    <t>Community Activities, Medical</t>
  </si>
  <si>
    <t>Housing, Canteen, Schooling</t>
  </si>
  <si>
    <t>Employment Assistance, Canteen, Transport</t>
  </si>
  <si>
    <t>Housing, Medical</t>
  </si>
  <si>
    <t>Schooling, Employment Assistance, Transport</t>
  </si>
  <si>
    <t>Housing, Transport</t>
  </si>
  <si>
    <t>Housing, Transport, Medical</t>
  </si>
  <si>
    <t>Medical, Community Activities</t>
  </si>
  <si>
    <t>Canteen, Transport, Employment Assistance</t>
  </si>
  <si>
    <t>Schooling, Housing, Canteen</t>
  </si>
  <si>
    <t>Transport, Canteen</t>
  </si>
  <si>
    <t>Medical, Employment Assistance</t>
  </si>
  <si>
    <t>Schooling, Medical, Housing</t>
  </si>
  <si>
    <t>Medical, Canteen</t>
  </si>
  <si>
    <t>Rarely</t>
  </si>
  <si>
    <t>Occasionally</t>
  </si>
  <si>
    <t>Frequently</t>
  </si>
  <si>
    <t>Excellent</t>
  </si>
  <si>
    <t>Good</t>
  </si>
  <si>
    <t>Average</t>
  </si>
  <si>
    <t>Poor</t>
  </si>
  <si>
    <t>Yes</t>
  </si>
  <si>
    <t>No</t>
  </si>
  <si>
    <t>Meets Expectations</t>
  </si>
  <si>
    <t>Exceeds Expectations</t>
  </si>
  <si>
    <t>Outstanding</t>
  </si>
  <si>
    <t>Needs Improvement</t>
  </si>
  <si>
    <t>Yes, and they influenced me to stay</t>
  </si>
  <si>
    <t>Yes, but they didn't influence me</t>
  </si>
  <si>
    <t>Not sure</t>
  </si>
  <si>
    <t>Better</t>
  </si>
  <si>
    <t>Same</t>
  </si>
  <si>
    <t>Worse</t>
  </si>
  <si>
    <t>Odio excepturi molestias ad eveniet eaque nihil provident ratione molestiae id aut.</t>
  </si>
  <si>
    <t>Ex odio blanditiis repudiandae dolore est quod commodi doloremque qui.</t>
  </si>
  <si>
    <t>Aliquid consectetur omnis eum libero fugit aut.</t>
  </si>
  <si>
    <t>Commodi quis nobis beatae numquam illum ex enim quisquam architecto consectetur quia unde.</t>
  </si>
  <si>
    <t>Libero temporibus accusamus incidunt dignissimos atque molestias sint sint eos rerum veritatis.</t>
  </si>
  <si>
    <t>Recusandae id impedit ratione sit esse repudiandae harum.</t>
  </si>
  <si>
    <t>At explicabo ipsam reiciendis quisquam perspiciatis consequuntur blanditiis.</t>
  </si>
  <si>
    <t>Autem quidem quaerat aspernatur voluptates id unde labore eius ipsam.</t>
  </si>
  <si>
    <t>Debitis itaque incidunt iusto facere maiores cum debitis autem eius.</t>
  </si>
  <si>
    <t>Provident nesciunt dignissimos hic itaque nulla corporis.</t>
  </si>
  <si>
    <t>Voluptatem similique amet earum modi minus ullam sunt beatae totam facere veniam illo.</t>
  </si>
  <si>
    <t>Delectus soluta fuga magni soluta cumque temporibus ducimus at aliquid.</t>
  </si>
  <si>
    <t>Sed autem doloremque perferendis quas facere quasi.</t>
  </si>
  <si>
    <t>Maxime hic ut repellat impedit eaque sunt.</t>
  </si>
  <si>
    <t>Officia molestias aspernatur nobis corrupti sapiente dolorum temporibus commodi optio eaque.</t>
  </si>
  <si>
    <t>Ex corrupti sed voluptatibus voluptas quam minima fugiat doloremque aliquid ab corporis.</t>
  </si>
  <si>
    <t>Velit doloribus reprehenderit placeat inventore accusantium nobis aperiam ducimus eos inventore.</t>
  </si>
  <si>
    <t>Minus repudiandae consequuntur ab aperiam voluptate reiciendis harum tempora.</t>
  </si>
  <si>
    <t>Saepe temporibus laboriosam aliquam facere ullam commodi nesciunt distinctio eveniet quae sint.</t>
  </si>
  <si>
    <t>Labore vero rem alias optio earum quia totam autem incidunt itaque.</t>
  </si>
  <si>
    <t>Tempore mollitia odio quis omnis architecto ad cum cum hic debitis.</t>
  </si>
  <si>
    <t>Porro recusandae fugit eveniet blanditiis rem quod facilis libero animi assumenda porro non.</t>
  </si>
  <si>
    <t>Et saepe praesentium nihil totam incidunt.</t>
  </si>
  <si>
    <t>Natus commodi necessitatibus sunt delectus totam rem earum error quaerat.</t>
  </si>
  <si>
    <t>Molestias quisquam et magni ipsa nihil libero nobis nihil dignissimos error molestias earum.</t>
  </si>
  <si>
    <t>A minus veniam quod odit hic quia porro nisi quaerat.</t>
  </si>
  <si>
    <t>Veritatis dolore ipsam animi laboriosam consectetur.</t>
  </si>
  <si>
    <t>Omnis aliquid enim unde fugiat quia modi minus fuga.</t>
  </si>
  <si>
    <t>Tempore cumque quaerat adipisci placeat incidunt adipisci architecto distinctio similique.</t>
  </si>
  <si>
    <t>Cumque quia porro quaerat aut ut eius nam similique corrupti.</t>
  </si>
  <si>
    <t>Sunt fuga blanditiis unde iure eius aliquid hic aspernatur.</t>
  </si>
  <si>
    <t>Itaque pariatur consectetur quia dicta provident repellendus ab doloremque.</t>
  </si>
  <si>
    <t>Sapiente ea voluptate in aliquid natus.</t>
  </si>
  <si>
    <t>Iste culpa perspiciatis rem totam laboriosam nulla deleniti quibusdam.</t>
  </si>
  <si>
    <t>Molestias ipsum officiis deserunt deserunt soluta voluptatibus voluptatum quaerat.</t>
  </si>
  <si>
    <t>Occaecati quo id deleniti tempore rerum aut excepturi in molestias.</t>
  </si>
  <si>
    <t>Voluptates a nam inventore quidem amet occaecati modi eaque reiciendis.</t>
  </si>
  <si>
    <t>Veritatis aliquam nobis quae rerum quaerat commodi quasi reiciendis perferendis.</t>
  </si>
  <si>
    <t>Voluptates suscipit dolorem blanditiis odio numquam.</t>
  </si>
  <si>
    <t>Voluptate repellat nulla veritatis accusamus iste eligendi commodi minus voluptas.</t>
  </si>
  <si>
    <t>Deserunt porro nihil voluptas fuga dignissimos.</t>
  </si>
  <si>
    <t>Sit animi doloribus quos esse explicabo quas molestiae optio sed mollitia harum quidem.</t>
  </si>
  <si>
    <t>Veniam eaque perspiciatis officia nemo ducimus eos voluptatibus maxime eum.</t>
  </si>
  <si>
    <t>Nemo dignissimos totam deserunt illo accusantium at.</t>
  </si>
  <si>
    <t>Quis similique error culpa in dolorem iure fugit veritatis nesciunt culpa eveniet.</t>
  </si>
  <si>
    <t>Officiis non aliquid blanditiis inventore iure vitae tenetur explicabo.</t>
  </si>
  <si>
    <t>Voluptatibus eos ut illum odit aut tempora exercitationem corrupti pariatur provident.</t>
  </si>
  <si>
    <t>Nam assumenda blanditiis eligendi ad illo nemo voluptatem.</t>
  </si>
  <si>
    <t>Blanditiis ab adipisci aliquid a necessitatibus vel animi laboriosam eum mollitia itaque.</t>
  </si>
  <si>
    <t>Corrupti omnis sint voluptas maxime odit assumenda pariatur excepturi tenetur perspiciatis.</t>
  </si>
  <si>
    <t>Repudiandae ratione autem nisi dignissimos doloribus voluptatem.</t>
  </si>
  <si>
    <t>Est laborum ab reprehenderit aperiam in sequi a voluptate culpa eius nesciunt.</t>
  </si>
  <si>
    <t>Cumque aliquid expedita veritatis laudantium adipisci doloremque atque voluptate adipisci.</t>
  </si>
  <si>
    <t>Fuga voluptates placeat autem corrupti nisi.</t>
  </si>
  <si>
    <t>Blanditiis fugiat dolore porro impedit reiciendis reiciendis repellendus animi excepturi repellat animi.</t>
  </si>
  <si>
    <t>Explicabo beatae tempore placeat voluptate harum distinctio autem alias unde nisi.</t>
  </si>
  <si>
    <t>Eum minima iusto dolorum minima voluptatum eius doloremque corporis asperiores.</t>
  </si>
  <si>
    <t>Veniam ipsa nobis inventore blanditiis quae accusamus aut assumenda eum.</t>
  </si>
  <si>
    <t>Amet est a assumenda recusandae dicta commodi vitae mollitia aliquid ad.</t>
  </si>
  <si>
    <t>Repellat optio nisi placeat exercitationem in suscipit.</t>
  </si>
  <si>
    <t>Cum dignissimos quis porro minus nesciunt.</t>
  </si>
  <si>
    <t>Enim quasi consequuntur maxime sint velit consequuntur aspernatur officiis.</t>
  </si>
  <si>
    <t>Ratione nostrum architecto nobis esse hic consequuntur placeat velit itaque numquam ratione quas.</t>
  </si>
  <si>
    <t>Iure omnis quibusdam ipsum sunt libero error id in ratione quaerat fugiat.</t>
  </si>
  <si>
    <t>Enim quam quod itaque tempore ipsum in quisquam vel veniam quos eum.</t>
  </si>
  <si>
    <t>Libero amet ut doloremque debitis illum unde ad dicta impedit natus.</t>
  </si>
  <si>
    <t>Corporis numquam excepturi ducimus sequi ab repellat.</t>
  </si>
  <si>
    <t>Facere saepe natus sed architecto tempore explicabo.</t>
  </si>
  <si>
    <t>Aspernatur illo voluptate harum illo officiis.</t>
  </si>
  <si>
    <t>Explicabo quis quod recusandae voluptas soluta.</t>
  </si>
  <si>
    <t>Autem eaque ducimus sed culpa vel asperiores inventore inventore.</t>
  </si>
  <si>
    <t>Unde eos dolorem ipsa sunt accusamus tempore veritatis aut accusantium dicta maxime.</t>
  </si>
  <si>
    <t>Corrupti tempore at iusto a ipsa corrupti.</t>
  </si>
  <si>
    <t>Omnis delectus veritatis veniam id natus ea quibusdam vel beatae vero earum suscipit.</t>
  </si>
  <si>
    <t>Natus neque voluptas corporis accusantium repudiandae aut cupiditate commodi eligendi.</t>
  </si>
  <si>
    <t>Velit nobis unde occaecati unde aut in quam quia quae deserunt eius.</t>
  </si>
  <si>
    <t>Rem sapiente nam odio consequuntur nesciunt quisquam itaque minus sit at.</t>
  </si>
  <si>
    <t>Similique quis non at voluptates perspiciatis.</t>
  </si>
  <si>
    <t>Consectetur nostrum natus natus voluptate laborum.</t>
  </si>
  <si>
    <t>Eos necessitatibus omnis possimus beatae suscipit quisquam delectus harum dolores totam.</t>
  </si>
  <si>
    <t>Fugiat veritatis labore libero dolorum perspiciatis commodi suscipit consequatur veniam eius quibusdam repudiandae.</t>
  </si>
  <si>
    <t>In totam dicta quam voluptatem maiores temporibus aut voluptatem deleniti porro dignissimos quod.</t>
  </si>
  <si>
    <t>Doloribus consectetur reiciendis nobis quidem omnis corporis.</t>
  </si>
  <si>
    <t>Numquam esse nulla suscipit sed numquam suscipit explicabo.</t>
  </si>
  <si>
    <t>Cupiditate nulla aut veniam quos et ducimus repellat minus nam fuga officiis soluta.</t>
  </si>
  <si>
    <t>Sed laborum minima sed enim deserunt cumque dolore corporis accusantium nulla praesentium.</t>
  </si>
  <si>
    <t>Reprehenderit non occaecati quod rerum provident impedit occaecati eligendi.</t>
  </si>
  <si>
    <t>Culpa consequatur velit beatae vero earum consequuntur mollitia impedit vel et magnam.</t>
  </si>
  <si>
    <t>Blanditiis sapiente tempora perferendis iusto deserunt.</t>
  </si>
  <si>
    <t>Ratione a vero tempore et assumenda nihil labore laboriosam.</t>
  </si>
  <si>
    <t>Perspiciatis ullam praesentium modi minus voluptatibus fugit adipisci.</t>
  </si>
  <si>
    <t>Tempore vitae vitae tenetur nam eius amet mollitia libero illum doloremque asperiores numquam.</t>
  </si>
  <si>
    <t>Ad voluptas facilis sint ipsum rem porro neque dolores et labore.</t>
  </si>
  <si>
    <t>Tempora hic repellat sint asperiores doloremque possimus.</t>
  </si>
  <si>
    <t>Adipisci dolor inventore natus aliquam numquam quo voluptatum itaque fuga fugit.</t>
  </si>
  <si>
    <t>Nihil doloremque illo sit rerum quam recusandae unde necessitatibus perspiciatis porro.</t>
  </si>
  <si>
    <t>Mollitia a ipsam rerum nobis libero incidunt perferendis non quod repellendus itaque laboriosam.</t>
  </si>
  <si>
    <t>Atque quos ipsam quasi enim ipsam impedit quasi modi.</t>
  </si>
  <si>
    <t>Mollitia ea voluptatibus facere non sint quos est ea nobis aut nihil iusto error.</t>
  </si>
  <si>
    <t>Quibusdam fugit earum inventore voluptas aspernatur esse.</t>
  </si>
  <si>
    <t>Eos ea fugit quis laboriosam modi veritatis facilis animi necessitatibus eveniet impedit.</t>
  </si>
  <si>
    <t>Ab repellat nulla dolores vitae consequatur quia pariatur dolores corrupti.</t>
  </si>
  <si>
    <t>Omnis quae repellat impedit exercitationem debitis illo inventore ab eius dicta deserunt.</t>
  </si>
  <si>
    <t>Dolore adipisci porro hic placeat voluptas consectetur cupiditate doloremque soluta ad harum ullam.</t>
  </si>
  <si>
    <t>Fuga architecto illo reprehenderit doloribus quisquam a saepe modi veniam.</t>
  </si>
  <si>
    <t>Expedita nulla modi magnam totam vitae quae totam.</t>
  </si>
  <si>
    <t>Error maxime itaque vel quae repellat amet asperiores inventore alias mollitia tempora delectus illo.</t>
  </si>
  <si>
    <t>Quae nihil labore deleniti libero ab adipisci rerum enim.</t>
  </si>
  <si>
    <t>Molestiae excepturi repudiandae provident vero nulla labore rerum tenetur quaerat consequuntur dicta tenetur impedit blanditiis quia.</t>
  </si>
  <si>
    <t>Voluptatum expedita excepturi porro iste error illo voluptates ratione reprehenderit.</t>
  </si>
  <si>
    <t>Deleniti reiciendis nobis harum magni id autem quis laudantium.</t>
  </si>
  <si>
    <t>Aliquam ea consequuntur fugiat ad occaecati exercitationem dolorum sunt.</t>
  </si>
  <si>
    <t>Quasi deserunt quasi autem minima alias sunt porro quos amet molestias quia.</t>
  </si>
  <si>
    <t>Inventore incidunt iure iusto perferendis sunt quisquam beatae esse a numquam reiciendis vero eligendi.</t>
  </si>
  <si>
    <t>Quas error eum illo placeat non porro sit illo sit a vero placeat.</t>
  </si>
  <si>
    <t>Possimus rem quam amet rerum velit unde quae qui dicta libero modi sequi suscipit.</t>
  </si>
  <si>
    <t>Laudantium quam id facere praesentium ea cum occaecati tempora.</t>
  </si>
  <si>
    <t>Beatae hic odit velit quis nisi sequi est eius aut reiciendis minus.</t>
  </si>
  <si>
    <t>Aperiam eum laborum nihil animi quidem exercitationem pariatur rerum cupiditate quia suscipit illum sit omnis.</t>
  </si>
  <si>
    <t>Aperiam excepturi neque sunt asperiores reprehenderit aut nihil soluta numquam accusamus corporis porro at natus.</t>
  </si>
  <si>
    <t>Deserunt dolore omnis consectetur neque nobis saepe ipsum suscipit nemo est.</t>
  </si>
  <si>
    <t>Doloribus harum iste hic cumque quo impedit.</t>
  </si>
  <si>
    <t>Error veniam aliquid amet facere ipsum fuga at occaecati pariatur vel maiores.</t>
  </si>
  <si>
    <t>Vitae soluta minima amet accusantium iste impedit.</t>
  </si>
  <si>
    <t>Molestias placeat at omnis aut tempore reiciendis laboriosam eum reprehenderit praesentium velit facilis.</t>
  </si>
  <si>
    <t>Voluptate amet quaerat pariatur possimus minima excepturi ad.</t>
  </si>
  <si>
    <t>Labore amet qui ipsa repellat eaque perspiciatis veritatis quos asperiores accusantium quam perferendis consequuntur tempora.</t>
  </si>
  <si>
    <t>Maiores ex aperiam ratione dicta itaque at.</t>
  </si>
  <si>
    <t>Perferendis eos animi sapiente ad aliquid tenetur necessitatibus.</t>
  </si>
  <si>
    <t>Illo sapiente et cum ducimus quibusdam repudiandae quo.</t>
  </si>
  <si>
    <t>Similique voluptatum corporis tempore similique nemo blanditiis impedit quos quam.</t>
  </si>
  <si>
    <t>Ad veritatis delectus velit magnam velit repellendus et optio odit natus.</t>
  </si>
  <si>
    <t>Cupiditate voluptates error maxime perferendis magnam consectetur aliquid repellendus aliquam alias praesentium.</t>
  </si>
  <si>
    <t>Quibusdam inventore tempora ipsum distinctio impedit officiis in repellat animi dolor occaecati.</t>
  </si>
  <si>
    <t>Optio quasi maxime iste libero eius placeat laboriosam quia tempore iusto laudantium.</t>
  </si>
  <si>
    <t>Consectetur odio temporibus quibusdam non mollitia animi quibusdam expedita aliquid soluta velit in quam nobis vero.</t>
  </si>
  <si>
    <t>Fugiat soluta nemo voluptatum similique illo nesciunt iste ratione excepturi iure quasi.</t>
  </si>
  <si>
    <t>Corporis necessitatibus vero harum numquam eum sit perferendis ipsum eveniet suscipit.</t>
  </si>
  <si>
    <t>Totam at voluptates aperiam sint ratione reprehenderit sed earum expedita laudantium ullam nihil.</t>
  </si>
  <si>
    <t>Unde expedita quo quod omnis culpa repellat quo iure et vitae magnam aperiam.</t>
  </si>
  <si>
    <t>Quod eligendi nostrum adipisci quisquam laborum tenetur aspernatur cumque inventore ea dolorem perspiciatis impedit hic laboriosam.</t>
  </si>
  <si>
    <t>Fuga eveniet quasi esse perferendis ut distinctio quia dolor tempora explicabo harum.</t>
  </si>
  <si>
    <t>Mollitia quidem eligendi ea facilis facere distinctio non eaque cupiditate.</t>
  </si>
  <si>
    <t>Quo quos exercitationem magnam similique facilis similique eos saepe nostrum minus suscipit deleniti possimus.</t>
  </si>
  <si>
    <t>Sed iusto tempora nobis atque illum nulla sint veniam autem repudiandae id sed.</t>
  </si>
  <si>
    <t>Blanditiis vitae tempore saepe maxime velit laudantium modi dolores quis dolorem officia molestiae iusto id repellat.</t>
  </si>
  <si>
    <t>Ab delectus harum ex soluta alias repudiandae excepturi dolorum.</t>
  </si>
  <si>
    <t>Nisi a eius necessitatibus autem facilis dolor suscipit tempora eius quod alias iste accusamus eum ipsam.</t>
  </si>
  <si>
    <t>Ad illo sint qui veniam modi dolores repellat neque.</t>
  </si>
  <si>
    <t>Laudantium exercitationem commodi quam atque magnam enim similique maiores fugit numquam rem nulla suscipit reiciendis ducimus.</t>
  </si>
  <si>
    <t>Suscipit repudiandae sunt odio sapiente tenetur a quis tempora sapiente doloribus eos incidunt labore voluptates.</t>
  </si>
  <si>
    <t>Nobis facilis aperiam illo eius vero iste repellendus vitae delectus.</t>
  </si>
  <si>
    <t>Praesentium illo omnis veritatis reprehenderit ratione nam molestiae possimus vero tempora facere temporibus excepturi alias.</t>
  </si>
  <si>
    <t>Quisquam eaque fugit a numquam quaerat excepturi dolorum.</t>
  </si>
  <si>
    <t>Fugiat nulla ad praesentium deserunt quidem dolores quis.</t>
  </si>
  <si>
    <t>Animi error natus ratione eaque dicta optio porro facere tempora consectetur autem cupiditate sequi et cupiditate.</t>
  </si>
  <si>
    <t>Odio adipisci illum dignissimos vero a quis debitis sint.</t>
  </si>
  <si>
    <t>Vitae temporibus nihil incidunt aspernatur iure quae iusto id temporibus culpa facere aliquam voluptates.</t>
  </si>
  <si>
    <t>Deserunt illum laudantium asperiores fugiat laborum sit occaecati.</t>
  </si>
  <si>
    <t>Molestias excepturi quod repudiandae tempora dolorum inventore corporis placeat commodi vero.</t>
  </si>
  <si>
    <t>Aliquam tenetur aperiam nihil ullam blanditiis dolorem assumenda.</t>
  </si>
  <si>
    <t>Exercitationem reiciendis facere mollitia mollitia eos laborum molestias neque.</t>
  </si>
  <si>
    <t>Sapiente reiciendis earum cupiditate ad iste aspernatur occaecati quisquam esse laborum veniam laudantium harum corporis.</t>
  </si>
  <si>
    <t>Amet inventore similique repudiandae perspiciatis quisquam incidunt ad fugiat impedit fugit voluptate sequi dicta.</t>
  </si>
  <si>
    <t>Libero voluptatibus consequatur illo repellendus iure occaecati sunt cumque facilis porro.</t>
  </si>
  <si>
    <t>Adipisci ea sequi asperiores aperiam dolorum voluptas itaque laborum.</t>
  </si>
  <si>
    <t>Molestias nostrum laborum laborum placeat necessitatibus soluta.</t>
  </si>
  <si>
    <t>Eum incidunt ab veritatis doloribus dignissimos quia error provident nostrum deserunt minus eveniet ipsa natus.</t>
  </si>
  <si>
    <t>Expedita placeat molestiae vitae quod voluptatibus sed ad pariatur eligendi quas porro officia impedit.</t>
  </si>
  <si>
    <t>Molestiae saepe hic totam velit rerum consequuntur nobis sint facere exercitationem magnam doloribus.</t>
  </si>
  <si>
    <t>Omnis commodi eaque ipsa incidunt saepe molestiae magnam iste hic.</t>
  </si>
  <si>
    <t>Facilis nobis est laboriosam perspiciatis sint laborum deleniti deleniti vero minus similique error.</t>
  </si>
  <si>
    <t>Voluptatibus cumque dolore id nisi corrupti recusandae.</t>
  </si>
  <si>
    <t>Perspiciatis cumque in consequuntur dolore rerum repellat ea fuga mollitia hic adipisci.</t>
  </si>
  <si>
    <t>Natus pariatur vitae facilis sed recusandae culpa atque dolorem iusto tenetur voluptatem modi enim.</t>
  </si>
  <si>
    <t>Dolorum veritatis sequi a id tempora fugiat nemo laudantium reiciendis necessitatibus alias.</t>
  </si>
  <si>
    <t>Eum in in reiciendis suscipit omnis provident placeat culpa non porro enim voluptates.</t>
  </si>
  <si>
    <t>Perferendis architecto voluptatem soluta eius dolore nisi laboriosam voluptatem qui natus fugiat voluptatibus officia unde.</t>
  </si>
  <si>
    <t>Debitis alias ex ea alias itaque ipsam expedita quo error corporis provident dicta corrupti doloremque.</t>
  </si>
  <si>
    <t>Laudantium laboriosam quam aliquid ratione veniam aspernatur accusantium quod inventore deleniti cumque.</t>
  </si>
  <si>
    <t>Odit deserunt voluptatem illo harum nihil eaque exercitationem dicta molestias fuga quos porro consequuntur iure.</t>
  </si>
  <si>
    <t>Quia dolorum accusantium ipsam ab sit harum perspiciatis enim.</t>
  </si>
  <si>
    <t>Voluptas facilis corporis ipsa odio at saepe impedit quaerat deleniti vitae corrupti delectus non.</t>
  </si>
  <si>
    <t>Facere necessitatibus soluta dolor provident tempora voluptatum iste tempora commodi unde quo optio quia voluptatum porro.</t>
  </si>
  <si>
    <t>Eveniet consequuntur sit sunt laudantium eaque consequuntur explicabo error voluptatum dolorum id.</t>
  </si>
  <si>
    <t>Recusandae nisi repellat distinctio perspiciatis esse ex veniam placeat mollitia magni inventore id sapiente tempora veritatis.</t>
  </si>
  <si>
    <t>Explicabo blanditiis ratione voluptatum molestiae sed vel tenetur quo necessitatibus qui necessitatibus voluptatibus.</t>
  </si>
  <si>
    <t>Provident architecto cum distinctio itaque esse officiis.</t>
  </si>
  <si>
    <t>Explicabo quo commodi atque sunt dicta impedit qui asperiores.</t>
  </si>
  <si>
    <t>A dolorum expedita ea laudantium amet velit aspernatur officia soluta dolores aut quidem debitis architecto.</t>
  </si>
  <si>
    <t>Repudiandae facere perferendis beatae quae necessitatibus voluptates molestiae sit nemo illo.</t>
  </si>
  <si>
    <t>Ut neque sapiente quis fugit corporis explicabo.</t>
  </si>
  <si>
    <t>Adipisci perspiciatis aliquam voluptates dolore laudantium beatae earum porro repudiandae.</t>
  </si>
  <si>
    <t>Consequatur ex aliquid quasi praesentium dignissimos mollitia illum.</t>
  </si>
  <si>
    <t>Laudantium architecto omnis sint quibusdam quod quaerat delectus ut corrupti aspernatur perferendis reprehenderit.</t>
  </si>
  <si>
    <t>Tempora alias similique illum eligendi asperiores fugiat enim.</t>
  </si>
  <si>
    <t>Voluptate nostrum voluptatibus blanditiis modi reiciendis blanditiis soluta ab adipisci iste porro.</t>
  </si>
  <si>
    <t>Veniam sed animi quidem ratione porro facere eius tempora dolores fugit deserunt labore officiis fugiat voluptatum.</t>
  </si>
  <si>
    <t>Inventore alias omnis voluptatum ab quaerat expedita labore porro amet quas similique eum culpa a numquam.</t>
  </si>
  <si>
    <t>Fugit impedit omnis aperiam dicta incidunt suscipit quam soluta debitis.</t>
  </si>
  <si>
    <t>Pranav Mehta</t>
  </si>
  <si>
    <t>Amit Singh</t>
  </si>
  <si>
    <t>Navdeep Verma</t>
  </si>
  <si>
    <t>Sunita Gupta</t>
  </si>
  <si>
    <t>Arjun Singh</t>
  </si>
  <si>
    <t>Pranav Patel</t>
  </si>
  <si>
    <t>Neha Gupta</t>
  </si>
  <si>
    <t>Kirti Kumar</t>
  </si>
  <si>
    <t>Mohit Joshi</t>
  </si>
  <si>
    <t>Anjali Sharma</t>
  </si>
  <si>
    <t>Kirti Joshi</t>
  </si>
  <si>
    <t>Priya Joshi</t>
  </si>
  <si>
    <t>Mohit Gupta</t>
  </si>
  <si>
    <t>Pranav Sharma</t>
  </si>
  <si>
    <t>Deepak Kumar</t>
  </si>
  <si>
    <t>Priya Das</t>
  </si>
  <si>
    <t>Vijay Gupta</t>
  </si>
  <si>
    <t>Pranav Kumar</t>
  </si>
  <si>
    <t>Rajesh Sharma</t>
  </si>
  <si>
    <t>Deepak Sharma</t>
  </si>
  <si>
    <t>Navdeep Singh</t>
  </si>
  <si>
    <t>Amit Mehta</t>
  </si>
  <si>
    <t>Pranav Singh</t>
  </si>
  <si>
    <t>Vijay Mehta</t>
  </si>
  <si>
    <t>Rajesh Patel</t>
  </si>
  <si>
    <t>Ravinder Gupta</t>
  </si>
  <si>
    <t>Rashmi Verma</t>
  </si>
  <si>
    <t>Pooja Gupta</t>
  </si>
  <si>
    <t>Pranav Joshi</t>
  </si>
  <si>
    <t>Amit Verma</t>
  </si>
  <si>
    <t>Mohit Das</t>
  </si>
  <si>
    <t>Deepak Singh</t>
  </si>
  <si>
    <t>Pankaj Mehta</t>
  </si>
  <si>
    <t>Rajesh Kumar</t>
  </si>
  <si>
    <t>Sunita Das</t>
  </si>
  <si>
    <t>Rashmi Sharma</t>
  </si>
  <si>
    <t>Navdeep Gupta</t>
  </si>
  <si>
    <t>Ravinder Verma</t>
  </si>
  <si>
    <t>Mohit Singh</t>
  </si>
  <si>
    <t>Neha Mehta</t>
  </si>
  <si>
    <t>Ravinder Sharma</t>
  </si>
  <si>
    <t>Deepak Das</t>
  </si>
  <si>
    <t>Navdeep Joshi</t>
  </si>
  <si>
    <t>Pankaj Sharma</t>
  </si>
  <si>
    <t>Sunita Mehta</t>
  </si>
  <si>
    <t>Sunita Singh</t>
  </si>
  <si>
    <t>Priya Singh</t>
  </si>
  <si>
    <t>Anjali Mehta</t>
  </si>
  <si>
    <t>Sunita Sharma</t>
  </si>
  <si>
    <t>Pooja Sharma</t>
  </si>
  <si>
    <t>Arjun Mehta</t>
  </si>
  <si>
    <t>Anjali Kumar</t>
  </si>
  <si>
    <t>Navdeep Patel</t>
  </si>
  <si>
    <t>Rajesh Mehta</t>
  </si>
  <si>
    <t>Rashmi Das</t>
  </si>
  <si>
    <t>Ravinder Mehta</t>
  </si>
  <si>
    <t>Deepak Verma</t>
  </si>
  <si>
    <t>Amit Gupta</t>
  </si>
  <si>
    <t>Vijay Joshi</t>
  </si>
  <si>
    <t>Amit Joshi</t>
  </si>
  <si>
    <t>Priya Kumar</t>
  </si>
  <si>
    <t>Arjun Patel</t>
  </si>
  <si>
    <t>Navdeep Sharma</t>
  </si>
  <si>
    <t>Anjali Patel</t>
  </si>
  <si>
    <t>Pankaj Gupta</t>
  </si>
  <si>
    <t>Pooja Das</t>
  </si>
  <si>
    <t>Kirti Patel</t>
  </si>
  <si>
    <t>Kirti Verma</t>
  </si>
  <si>
    <t>Rajesh Singh</t>
  </si>
  <si>
    <t>Rashmi Gupta</t>
  </si>
  <si>
    <t>Ravinder Patel</t>
  </si>
  <si>
    <t>Priya Patel</t>
  </si>
  <si>
    <t>Neha Singh</t>
  </si>
  <si>
    <t>Kirti Das</t>
  </si>
  <si>
    <t>Arjun Das</t>
  </si>
  <si>
    <t>Navdeep Das</t>
  </si>
  <si>
    <t>Anjali Joshi</t>
  </si>
  <si>
    <t>Neha Verma</t>
  </si>
  <si>
    <t>Arjun Joshi</t>
  </si>
  <si>
    <t>Ravinder Joshi</t>
  </si>
  <si>
    <t>Arjun Gupta</t>
  </si>
  <si>
    <t>Neha Joshi</t>
  </si>
  <si>
    <t>Rajesh Gupta</t>
  </si>
  <si>
    <t>Pooja Verma</t>
  </si>
  <si>
    <t>Pooja Patel</t>
  </si>
  <si>
    <t>Amit Kumar</t>
  </si>
  <si>
    <t>Deepak Patel</t>
  </si>
  <si>
    <t>Rajesh Verma</t>
  </si>
  <si>
    <t>Ravinder Kumar</t>
  </si>
  <si>
    <t>Rajesh Das</t>
  </si>
  <si>
    <t>Deepak Joshi</t>
  </si>
  <si>
    <t>Pankaj Verma</t>
  </si>
  <si>
    <t>Priya Mehta</t>
  </si>
  <si>
    <t>Vijay Das</t>
  </si>
  <si>
    <t>Amit Patel</t>
  </si>
  <si>
    <t>Anjali Singh</t>
  </si>
  <si>
    <t>Priya Verma</t>
  </si>
  <si>
    <t>Vijay Verma</t>
  </si>
  <si>
    <t>Sunita Kumar</t>
  </si>
  <si>
    <t>Neha Sharma</t>
  </si>
  <si>
    <t>Ravinder Singh</t>
  </si>
  <si>
    <t>Pankaj Singh</t>
  </si>
  <si>
    <t>Pooja Joshi</t>
  </si>
  <si>
    <t>Arjun Verma</t>
  </si>
  <si>
    <t>Navdeep Mehta</t>
  </si>
  <si>
    <t>Mohit Mehta</t>
  </si>
  <si>
    <t>Rashmi Mehta</t>
  </si>
  <si>
    <t>Priya Sharma</t>
  </si>
  <si>
    <t>Rashmi Patel</t>
  </si>
  <si>
    <t>Vijay Kumar</t>
  </si>
  <si>
    <t>Deepak Mehta</t>
  </si>
  <si>
    <t>Pankaj Joshi</t>
  </si>
  <si>
    <t>Anjali Verma</t>
  </si>
  <si>
    <t>Kirti Mehta</t>
  </si>
  <si>
    <t>Deepak Gupta</t>
  </si>
  <si>
    <t>Pranav Verma</t>
  </si>
  <si>
    <t>Mohit Verma</t>
  </si>
  <si>
    <t>Pankaj Patel</t>
  </si>
  <si>
    <t>Pankaj Das</t>
  </si>
  <si>
    <t>Amit Sharma</t>
  </si>
  <si>
    <t>Kirti Singh</t>
  </si>
  <si>
    <t>Mohit Kumar</t>
  </si>
  <si>
    <t>Pankaj Kumar</t>
  </si>
  <si>
    <t>Pooja Singh</t>
  </si>
  <si>
    <t>Anjali Gupta</t>
  </si>
  <si>
    <t>Mohit Sharma</t>
  </si>
  <si>
    <t>Vijay Singh</t>
  </si>
  <si>
    <t>Rashmi Joshi</t>
  </si>
  <si>
    <t>Kirti Gupta</t>
  </si>
  <si>
    <t>Kirti Sharma</t>
  </si>
  <si>
    <t>Sunita Verma</t>
  </si>
  <si>
    <t>Priya Gupta</t>
  </si>
  <si>
    <t>Mohit Patel</t>
  </si>
  <si>
    <t>ONGC8928</t>
  </si>
  <si>
    <t>ONGC6097</t>
  </si>
  <si>
    <t>ONGC2020</t>
  </si>
  <si>
    <t>ONGC1328</t>
  </si>
  <si>
    <t>ONGC8726</t>
  </si>
  <si>
    <t>ONGC8083</t>
  </si>
  <si>
    <t>ONGC8728</t>
  </si>
  <si>
    <t>ONGC7656</t>
  </si>
  <si>
    <t>ONGC1994</t>
  </si>
  <si>
    <t>ONGC8142</t>
  </si>
  <si>
    <t>ONGC4891</t>
  </si>
  <si>
    <t>ONGC2320</t>
  </si>
  <si>
    <t>ONGC5535</t>
  </si>
  <si>
    <t>ONGC4487</t>
  </si>
  <si>
    <t>ONGC1874</t>
  </si>
  <si>
    <t>ONGC2352</t>
  </si>
  <si>
    <t>ONGC5320</t>
  </si>
  <si>
    <t>ONGC4071</t>
  </si>
  <si>
    <t>ONGC3997</t>
  </si>
  <si>
    <t>ONGC8750</t>
  </si>
  <si>
    <t>ONGC9441</t>
  </si>
  <si>
    <t>ONGC6093</t>
  </si>
  <si>
    <t>ONGC5425</t>
  </si>
  <si>
    <t>ONGC8232</t>
  </si>
  <si>
    <t>ONGC9284</t>
  </si>
  <si>
    <t>ONGC7125</t>
  </si>
  <si>
    <t>ONGC1042</t>
  </si>
  <si>
    <t>ONGC6856</t>
  </si>
  <si>
    <t>ONGC7134</t>
  </si>
  <si>
    <t>ONGC3488</t>
  </si>
  <si>
    <t>ONGC2072</t>
  </si>
  <si>
    <t>ONGC1827</t>
  </si>
  <si>
    <t>ONGC5669</t>
  </si>
  <si>
    <t>ONGC5414</t>
  </si>
  <si>
    <t>ONGC7645</t>
  </si>
  <si>
    <t>ONGC8097</t>
  </si>
  <si>
    <t>ONGC3715</t>
  </si>
  <si>
    <t>ONGC9031</t>
  </si>
  <si>
    <t>ONGC9373</t>
  </si>
  <si>
    <t>ONGC3108</t>
  </si>
  <si>
    <t>ONGC5824</t>
  </si>
  <si>
    <t>ONGC9459</t>
  </si>
  <si>
    <t>ONGC9230</t>
  </si>
  <si>
    <t>ONGC3097</t>
  </si>
  <si>
    <t>ONGC3067</t>
  </si>
  <si>
    <t>ONGC6634</t>
  </si>
  <si>
    <t>ONGC4226</t>
  </si>
  <si>
    <t>ONGC8174</t>
  </si>
  <si>
    <t>ONGC1931</t>
  </si>
  <si>
    <t>ONGC6324</t>
  </si>
  <si>
    <t>ONGC4886</t>
  </si>
  <si>
    <t>ONGC8577</t>
  </si>
  <si>
    <t>ONGC7322</t>
  </si>
  <si>
    <t>ONGC6493</t>
  </si>
  <si>
    <t>ONGC9871</t>
  </si>
  <si>
    <t>ONGC2135</t>
  </si>
  <si>
    <t>ONGC1177</t>
  </si>
  <si>
    <t>ONGC4673</t>
  </si>
  <si>
    <t>ONGC5917</t>
  </si>
  <si>
    <t>ONGC1129</t>
  </si>
  <si>
    <t>ONGC9949</t>
  </si>
  <si>
    <t>ONGC3436</t>
  </si>
  <si>
    <t>ONGC4063</t>
  </si>
  <si>
    <t>ONGC3721</t>
  </si>
  <si>
    <t>ONGC7557</t>
  </si>
  <si>
    <t>ONGC4960</t>
  </si>
  <si>
    <t>ONGC3258</t>
  </si>
  <si>
    <t>ONGC4868</t>
  </si>
  <si>
    <t>ONGC3872</t>
  </si>
  <si>
    <t>ONGC2839</t>
  </si>
  <si>
    <t>ONGC4419</t>
  </si>
  <si>
    <t>ONGC1804</t>
  </si>
  <si>
    <t>ONGC6137</t>
  </si>
  <si>
    <t>ONGC4279</t>
  </si>
  <si>
    <t>ONGC1784</t>
  </si>
  <si>
    <t>ONGC4902</t>
  </si>
  <si>
    <t>ONGC9777</t>
  </si>
  <si>
    <t>ONGC7546</t>
  </si>
  <si>
    <t>ONGC9134</t>
  </si>
  <si>
    <t>ONGC8041</t>
  </si>
  <si>
    <t>ONGC7275</t>
  </si>
  <si>
    <t>ONGC2706</t>
  </si>
  <si>
    <t>ONGC7182</t>
  </si>
  <si>
    <t>ONGC5366</t>
  </si>
  <si>
    <t>ONGC1080</t>
  </si>
  <si>
    <t>ONGC5417</t>
  </si>
  <si>
    <t>ONGC8284</t>
  </si>
  <si>
    <t>ONGC5157</t>
  </si>
  <si>
    <t>ONGC9470</t>
  </si>
  <si>
    <t>ONGC5639</t>
  </si>
  <si>
    <t>ONGC4510</t>
  </si>
  <si>
    <t>ONGC8025</t>
  </si>
  <si>
    <t>ONGC2119</t>
  </si>
  <si>
    <t>ONGC5358</t>
  </si>
  <si>
    <t>ONGC6283</t>
  </si>
  <si>
    <t>ONGC8224</t>
  </si>
  <si>
    <t>ONGC7975</t>
  </si>
  <si>
    <t>ONGC1427</t>
  </si>
  <si>
    <t>ONGC5664</t>
  </si>
  <si>
    <t>ONGC4433</t>
  </si>
  <si>
    <t>ONGC5563</t>
  </si>
  <si>
    <t>ONGC3428</t>
  </si>
  <si>
    <t>ONGC7594</t>
  </si>
  <si>
    <t>ONGC5119</t>
  </si>
  <si>
    <t>ONGC5920</t>
  </si>
  <si>
    <t>ONGC7382</t>
  </si>
  <si>
    <t>ONGC7208</t>
  </si>
  <si>
    <t>ONGC6742</t>
  </si>
  <si>
    <t>ONGC2300</t>
  </si>
  <si>
    <t>ONGC8567</t>
  </si>
  <si>
    <t>ONGC3852</t>
  </si>
  <si>
    <t>ONGC7740</t>
  </si>
  <si>
    <t>ONGC6383</t>
  </si>
  <si>
    <t>ONGC8277</t>
  </si>
  <si>
    <t>ONGC5767</t>
  </si>
  <si>
    <t>ONGC2948</t>
  </si>
  <si>
    <t>ONGC9660</t>
  </si>
  <si>
    <t>ONGC9574</t>
  </si>
  <si>
    <t>ONGC4454</t>
  </si>
  <si>
    <t>ONGC3121</t>
  </si>
  <si>
    <t>ONGC7305</t>
  </si>
  <si>
    <t>ONGC8753</t>
  </si>
  <si>
    <t>ONGC5006</t>
  </si>
  <si>
    <t>ONGC3734</t>
  </si>
  <si>
    <t>ONGC7377</t>
  </si>
  <si>
    <t>ONGC8170</t>
  </si>
  <si>
    <t>ONGC1581</t>
  </si>
  <si>
    <t>ONGC6267</t>
  </si>
  <si>
    <t>ONGC5649</t>
  </si>
  <si>
    <t>ONGC9539</t>
  </si>
  <si>
    <t>ONGC6794</t>
  </si>
  <si>
    <t>ONGC4022</t>
  </si>
  <si>
    <t>ONGC3292</t>
  </si>
  <si>
    <t>ONGC7616</t>
  </si>
  <si>
    <t>ONGC4465</t>
  </si>
  <si>
    <t>ONGC7859</t>
  </si>
  <si>
    <t>ONGC4168</t>
  </si>
  <si>
    <t>ONGC3010</t>
  </si>
  <si>
    <t>ONGC6764</t>
  </si>
  <si>
    <t>ONGC4248</t>
  </si>
  <si>
    <t>ONGC5008</t>
  </si>
  <si>
    <t>ONGC2762</t>
  </si>
  <si>
    <t>ONGC2162</t>
  </si>
  <si>
    <t>ONGC5090</t>
  </si>
  <si>
    <t>ONGC5916</t>
  </si>
  <si>
    <t>ONGC3866</t>
  </si>
  <si>
    <t>ONGC4001</t>
  </si>
  <si>
    <t>ONGC3160</t>
  </si>
  <si>
    <t>ONGC6914</t>
  </si>
  <si>
    <t>ONGC7595</t>
  </si>
  <si>
    <t>ONGC7721</t>
  </si>
  <si>
    <t>ONGC6465</t>
  </si>
  <si>
    <t>ONGC2811</t>
  </si>
  <si>
    <t>ONGC9987</t>
  </si>
  <si>
    <t>ONGC9137</t>
  </si>
  <si>
    <t>ONGC7251</t>
  </si>
  <si>
    <t>ONGC1517</t>
  </si>
  <si>
    <t>ONGC5339</t>
  </si>
  <si>
    <t>ONGC8542</t>
  </si>
  <si>
    <t>ONGC2969</t>
  </si>
  <si>
    <t>ONGC5901</t>
  </si>
  <si>
    <t>ONGC5572</t>
  </si>
  <si>
    <t>ONGC3558</t>
  </si>
  <si>
    <t>ONGC9035</t>
  </si>
  <si>
    <t>ONGC7366</t>
  </si>
  <si>
    <t>ONGC3801</t>
  </si>
  <si>
    <t>ONGC5191</t>
  </si>
  <si>
    <t>ONGC6207</t>
  </si>
  <si>
    <t>ONGC2319</t>
  </si>
  <si>
    <t>ONGC8125</t>
  </si>
  <si>
    <t>ONGC5630</t>
  </si>
  <si>
    <t>ONGC5140</t>
  </si>
  <si>
    <t>ONGC4210</t>
  </si>
  <si>
    <t>ONGC8962</t>
  </si>
  <si>
    <t>ONGC2613</t>
  </si>
  <si>
    <t>ONGC3374</t>
  </si>
  <si>
    <t>ONGC3732</t>
  </si>
  <si>
    <t>ONGC7198</t>
  </si>
  <si>
    <t>ONGC3024</t>
  </si>
  <si>
    <t>ONGC1017</t>
  </si>
  <si>
    <t>ONGC9351</t>
  </si>
  <si>
    <t>ONGC6441</t>
  </si>
  <si>
    <t>ONGC9788</t>
  </si>
  <si>
    <t>ONGC8973</t>
  </si>
  <si>
    <t>ONGC5896</t>
  </si>
  <si>
    <t>ONGC4636</t>
  </si>
  <si>
    <t>ONGC9399</t>
  </si>
  <si>
    <t>ONGC4018</t>
  </si>
  <si>
    <t>ONGC3340</t>
  </si>
  <si>
    <t>ONGC5781</t>
  </si>
  <si>
    <t>ONGC4786</t>
  </si>
  <si>
    <t>ONGC3180</t>
  </si>
  <si>
    <t>ONGC7432</t>
  </si>
  <si>
    <t>ONGC8502</t>
  </si>
  <si>
    <t>ONGC8253</t>
  </si>
  <si>
    <t>ONGC4432</t>
  </si>
  <si>
    <t>ONGC6720</t>
  </si>
  <si>
    <t>ONGC6131</t>
  </si>
  <si>
    <t>ONGC6850</t>
  </si>
  <si>
    <t>ONGC2007</t>
  </si>
  <si>
    <t>ONGC6221</t>
  </si>
  <si>
    <t>ONGC1728</t>
  </si>
  <si>
    <t>ONGC9498</t>
  </si>
  <si>
    <t>ONGC5845</t>
  </si>
  <si>
    <t>ONGC5219</t>
  </si>
  <si>
    <t>ONGC3167</t>
  </si>
  <si>
    <t>ONGC8915</t>
  </si>
  <si>
    <t>ONGC4760</t>
  </si>
  <si>
    <t>ONGC7259</t>
  </si>
  <si>
    <t>ONGC9521</t>
  </si>
  <si>
    <t>ONGC8413</t>
  </si>
  <si>
    <t>ONGC8148</t>
  </si>
  <si>
    <t>ONGC3511</t>
  </si>
  <si>
    <t>ONGC2357</t>
  </si>
  <si>
    <t>ONGC8684</t>
  </si>
  <si>
    <t>ONGC4354</t>
  </si>
  <si>
    <t>ONGC2812</t>
  </si>
  <si>
    <t>ONGC5247</t>
  </si>
  <si>
    <t>ONGC9608</t>
  </si>
  <si>
    <t>ONGC5566</t>
  </si>
  <si>
    <t>ONGC3759</t>
  </si>
  <si>
    <t>ONGC3632</t>
  </si>
  <si>
    <t>ONGC9154</t>
  </si>
  <si>
    <t>ONGC7273</t>
  </si>
  <si>
    <t>ONGC5173</t>
  </si>
  <si>
    <t>ONGC6636</t>
  </si>
  <si>
    <t>ONGC5367</t>
  </si>
  <si>
    <t>ONGC3483</t>
  </si>
  <si>
    <t>ONGC1462</t>
  </si>
  <si>
    <t>ONGC6116</t>
  </si>
  <si>
    <t>ONGC6015</t>
  </si>
  <si>
    <t>ONGC4060</t>
  </si>
  <si>
    <t>ONGC3147</t>
  </si>
  <si>
    <t>ONGC2195</t>
  </si>
  <si>
    <t>ONGC1471</t>
  </si>
  <si>
    <t>ONGC5308</t>
  </si>
  <si>
    <t>ONGC2829</t>
  </si>
  <si>
    <t>ONGC1356</t>
  </si>
  <si>
    <t>ONGC3501</t>
  </si>
  <si>
    <t>ONGC8381</t>
  </si>
  <si>
    <t>ONGC9487</t>
  </si>
  <si>
    <t>ONGC7340</t>
  </si>
  <si>
    <t>ONGC8637</t>
  </si>
  <si>
    <t>ONGC7463</t>
  </si>
  <si>
    <t>ONGC2511</t>
  </si>
  <si>
    <t>ONGC9832</t>
  </si>
  <si>
    <t>ONGC3061</t>
  </si>
  <si>
    <t>ONGC4301</t>
  </si>
  <si>
    <t>ONGC6090</t>
  </si>
  <si>
    <t>ONGC5382</t>
  </si>
  <si>
    <t>ONGC3260</t>
  </si>
  <si>
    <t>ONGC8164</t>
  </si>
  <si>
    <t>ONGC3018</t>
  </si>
  <si>
    <t>ONGC3207</t>
  </si>
  <si>
    <t>ONGC3036</t>
  </si>
  <si>
    <t>ONGC4101</t>
  </si>
  <si>
    <t>ONGC7197</t>
  </si>
  <si>
    <t>ONGC9931</t>
  </si>
  <si>
    <t>ONGC4794</t>
  </si>
  <si>
    <t>ONGC7146</t>
  </si>
  <si>
    <t>ONGC2716</t>
  </si>
  <si>
    <t>ONGC3722</t>
  </si>
  <si>
    <t>ONGC2172</t>
  </si>
  <si>
    <t>ONGC3736</t>
  </si>
  <si>
    <t>ONGC1761</t>
  </si>
  <si>
    <t>ONGC6470</t>
  </si>
  <si>
    <t>ONGC1952</t>
  </si>
  <si>
    <t>ONGC6146</t>
  </si>
  <si>
    <t>ONGC9751</t>
  </si>
  <si>
    <t>ONGC3856</t>
  </si>
  <si>
    <t>ONGC3658</t>
  </si>
  <si>
    <t>ONGC7054</t>
  </si>
  <si>
    <t>ONGC7989</t>
  </si>
  <si>
    <t>ONGC7538</t>
  </si>
  <si>
    <t>ONGC2629</t>
  </si>
  <si>
    <t>ONGC9712</t>
  </si>
  <si>
    <t>ONGC1182</t>
  </si>
  <si>
    <t>ONGC6972</t>
  </si>
  <si>
    <t>ONGC2454</t>
  </si>
  <si>
    <t>ONGC8626</t>
  </si>
  <si>
    <t>ONGC7062</t>
  </si>
  <si>
    <t>ONGC5798</t>
  </si>
  <si>
    <t>ONGC8922</t>
  </si>
  <si>
    <t>ONGC7545</t>
  </si>
  <si>
    <t>ONGC3165</t>
  </si>
  <si>
    <t>ONGC5236</t>
  </si>
  <si>
    <t>ONGC2862</t>
  </si>
  <si>
    <t>ONGC4186</t>
  </si>
  <si>
    <t>ONGC3050</t>
  </si>
  <si>
    <t>ONGC4229</t>
  </si>
  <si>
    <t>ONGC8477</t>
  </si>
  <si>
    <t>Employment Assistance, Transport, Housing</t>
  </si>
  <si>
    <t>Employment Assistance, Medical, Canteen, Community Activities</t>
  </si>
  <si>
    <t>Housing, Schooling, Canteen, Community Activities</t>
  </si>
  <si>
    <t>Community Activities, Employment Assistance, Transport</t>
  </si>
  <si>
    <t>Transport, Employment Assistance</t>
  </si>
  <si>
    <t>Transport, Schooling, Community Activities</t>
  </si>
  <si>
    <t>Employment Assistance, Transport</t>
  </si>
  <si>
    <t>Medical, Employment Assistance, Schooling, Housing</t>
  </si>
  <si>
    <t>Medical, Transport, Schooling, Canteen</t>
  </si>
  <si>
    <t>Schooling, Transport, Canteen</t>
  </si>
  <si>
    <t>Schooling, Canteen</t>
  </si>
  <si>
    <t>Schooling, Community Activities, Medical, Transport</t>
  </si>
  <si>
    <t>Housing, Schooling, Medical</t>
  </si>
  <si>
    <t>Housing, Employment Assistance</t>
  </si>
  <si>
    <t>Housing, Community Activities, Employment Assistance, Canteen</t>
  </si>
  <si>
    <t>Canteen, Community Activities, Transport</t>
  </si>
  <si>
    <t>Housing, Employment Assistance, Medical</t>
  </si>
  <si>
    <t>Community Activities, Schooling, Housing, Medical</t>
  </si>
  <si>
    <t>Transport, Canteen, Medical, Employment Assistance</t>
  </si>
  <si>
    <t>Canteen, Community Activities, Medical, Schooling</t>
  </si>
  <si>
    <t>Employment Assistance, Community Activities, Housing</t>
  </si>
  <si>
    <t>Community Activities, Housing, Schooling</t>
  </si>
  <si>
    <t>Transport, Canteen, Medical</t>
  </si>
  <si>
    <t>Canteen, Schooling, Transport, Housing</t>
  </si>
  <si>
    <t>Housing, Canteen, Medical</t>
  </si>
  <si>
    <t>Medical, Transport, Schooling</t>
  </si>
  <si>
    <t>Community Activities, Medical, Schooling, Housing</t>
  </si>
  <si>
    <t>Canteen, Schooling, Community Activities</t>
  </si>
  <si>
    <t>Canteen, Medical, Community Activities</t>
  </si>
  <si>
    <t>Medical, Schooling, Transport</t>
  </si>
  <si>
    <t>Transport, Medical, Community Activities</t>
  </si>
  <si>
    <t>Transport, Housing, Community Activities, Schooling</t>
  </si>
  <si>
    <t>Schooling, Canteen, Housing, Community Activities</t>
  </si>
  <si>
    <t>Transport, Schooling, Employment Assistance, Community Activities</t>
  </si>
  <si>
    <t>Schooling, Employment Assistance, Housing, Canteen</t>
  </si>
  <si>
    <t>Community Activities, Transport</t>
  </si>
  <si>
    <t>Transport, Employment Assistance, Canteen, Housing</t>
  </si>
  <si>
    <t>Schooling, Transport</t>
  </si>
  <si>
    <t>Community Activities, Canteen, Transport</t>
  </si>
  <si>
    <t>Schooling, Canteen, Housing</t>
  </si>
  <si>
    <t>Medical, Schooling</t>
  </si>
  <si>
    <t>Transport, Community Activities, Schooling, Employment Assistance</t>
  </si>
  <si>
    <t>Employment Assistance, Housing, Canteen, Medical</t>
  </si>
  <si>
    <t>Canteen, Housing, Community Activities</t>
  </si>
  <si>
    <t>Canteen, Medical</t>
  </si>
  <si>
    <t>Housing, Transport, Schooling, Canteen</t>
  </si>
  <si>
    <t>Community Activities, Employment Assistance, Medical</t>
  </si>
  <si>
    <t>Medical, Transport, Employment Assistance</t>
  </si>
  <si>
    <t>Transport, Employment Assistance, Canteen</t>
  </si>
  <si>
    <t>Community Activities, Canteen, Schooling, Employment Assistance</t>
  </si>
  <si>
    <t>Housing, Canteen, Transport</t>
  </si>
  <si>
    <t>Schooling, Employment Assistance, Community Activities, Housing</t>
  </si>
  <si>
    <t>Housing, Community Activities, Employment Assistance, Schooling</t>
  </si>
  <si>
    <t>Medical, Community Activities, Transport, Housing</t>
  </si>
  <si>
    <t>Community Activities, Schooling, Medical</t>
  </si>
  <si>
    <t>Transport, Community Activities</t>
  </si>
  <si>
    <t>Community Activities, Transport, Housing</t>
  </si>
  <si>
    <t>Schooling, Employment Assistance, Medical, Housing</t>
  </si>
  <si>
    <t>Community Activities, Transport, Employment Assistance</t>
  </si>
  <si>
    <t>Housing, Community Activities</t>
  </si>
  <si>
    <t>Transport, Housing, Canteen, Community Activities</t>
  </si>
  <si>
    <t>Canteen, Community Activities, Employment Assistance, Medical</t>
  </si>
  <si>
    <t>Canteen, Schooling</t>
  </si>
  <si>
    <t>Canteen, Community Activities, Medical</t>
  </si>
  <si>
    <t>Canteen, Schooling, Employment Assistance, Housing</t>
  </si>
  <si>
    <t>Housing, Employment Assistance, Schooling, Community Activities</t>
  </si>
  <si>
    <t>Transport, Housing, Schooling, Employment Assistance</t>
  </si>
  <si>
    <t>Housing, Employment Assistance, Canteen, Medical</t>
  </si>
  <si>
    <t>Schooling, Transport, Medical, Canteen</t>
  </si>
  <si>
    <t>Transport, Housing, Medical, Community Activities</t>
  </si>
  <si>
    <t>Community Activities, Canteen, Medical, Schooling</t>
  </si>
  <si>
    <t>Medical, Canteen, Housing, Employment Assistance</t>
  </si>
  <si>
    <t>Medical, Employment Assistance, Housing</t>
  </si>
  <si>
    <t>Medical, Transport, Employment Assistance, Canteen</t>
  </si>
  <si>
    <t>Transport, Housing, Medical, Canteen</t>
  </si>
  <si>
    <t>Schooling, Housing, Transport</t>
  </si>
  <si>
    <t>Employment Assistance, Community Activities, Schooling</t>
  </si>
  <si>
    <t>Medical, Schooling, Canteen, Transport</t>
  </si>
  <si>
    <t>Schooling, Housing, Employment Assistance, Canteen</t>
  </si>
  <si>
    <t>Employment Assistance, Community Activities, Medical, Housing</t>
  </si>
  <si>
    <t>Employment Assistance, Housing, Transport, Schooling</t>
  </si>
  <si>
    <t>Transport, Community Activities, Employment Assistance</t>
  </si>
  <si>
    <t>Transport, Medical, Schooling, Employment Assistance</t>
  </si>
  <si>
    <t>Housing, Canteen, Medical, Employment Assistance</t>
  </si>
  <si>
    <t>Canteen, Employment Assistance, Schooling</t>
  </si>
  <si>
    <t>Employment Assistance, Canteen, Medical</t>
  </si>
  <si>
    <t>Transport, Medical, Community Activities, Schooling</t>
  </si>
  <si>
    <t>Community Activities, Housing, Canteen, Employment Assistance</t>
  </si>
  <si>
    <t>Medical, Housing, Employment Assistance, Canteen</t>
  </si>
  <si>
    <t>Housing, Schooling, Medical, Employment Assistance</t>
  </si>
  <si>
    <t>Medical, Employment Assistance, Canteen, Community Activities</t>
  </si>
  <si>
    <t>Medical, Community Activities, Schooling, Canteen</t>
  </si>
  <si>
    <t>Canteen, Schooling, Housing</t>
  </si>
  <si>
    <t>Schooling, Medical, Transport</t>
  </si>
  <si>
    <t>Transport, Canteen, Schooling, Medical</t>
  </si>
  <si>
    <t>Housing, Schooling, Community Activities, Canteen</t>
  </si>
  <si>
    <t>Transport, Community Activities, Medical, Employment Assistance</t>
  </si>
  <si>
    <t>Housing, Community Activities, Schooling</t>
  </si>
  <si>
    <t>Housing, Community Activities, Transport, Schooling</t>
  </si>
  <si>
    <t>Employment Assistance, Schooling, Community Activities</t>
  </si>
  <si>
    <t>Medical, Schooling, Canteen</t>
  </si>
  <si>
    <t>Canteen, Transport, Schooling</t>
  </si>
  <si>
    <t>Canteen, Housing, Medical</t>
  </si>
  <si>
    <t>Housing, Canteen, Medical, Transport</t>
  </si>
  <si>
    <t>Employment Assistance, Schooling, Canteen</t>
  </si>
  <si>
    <t>Schooling, Medical, Community Activities</t>
  </si>
  <si>
    <t>Medical, Schooling, Canteen, Community Activities</t>
  </si>
  <si>
    <t>Schooling, Medical, Housing, Canteen</t>
  </si>
  <si>
    <t>Canteen, Transport, Housing</t>
  </si>
  <si>
    <t>Community Activities, Canteen, Employment Assistance</t>
  </si>
  <si>
    <t>Medical, Canteen, Housing, Community Activities</t>
  </si>
  <si>
    <t>Medical, Housing, Employment Assistance, Community Activities</t>
  </si>
  <si>
    <t>Community Activities, Medical, Housing, Schooling</t>
  </si>
  <si>
    <t>Housing, Transport, Canteen, Schooling</t>
  </si>
  <si>
    <t>Community Activities, Medical, Employment Assistance, Transport</t>
  </si>
  <si>
    <t>Transport, Schooling, Employment Assistance, Housing</t>
  </si>
  <si>
    <t>Community Activities, Housing, Canteen</t>
  </si>
  <si>
    <t>Canteen, Schooling, Employment Assistance, Transport</t>
  </si>
  <si>
    <t>Canteen, Transport, Community Activities, Employment Assistance</t>
  </si>
  <si>
    <t>Community Activities, Medical, Canteen, Transport</t>
  </si>
  <si>
    <t>Schooling, Employment Assistance, Medical</t>
  </si>
  <si>
    <t>Transport, Medical, Canteen, Schooling</t>
  </si>
  <si>
    <t>Medical, Housing</t>
  </si>
  <si>
    <t>Transport, Community Activities, Medical</t>
  </si>
  <si>
    <t>Community Activities, Transport, Employment Assistance, Housing</t>
  </si>
  <si>
    <t>Employment Assistance, Housing, Transport</t>
  </si>
  <si>
    <t>Housing, Transport, Employment Assistance, Canteen</t>
  </si>
  <si>
    <t>Transport, Schooling, Medical, Employment Assistance</t>
  </si>
  <si>
    <t>Community Activities, Transport, Canteen</t>
  </si>
  <si>
    <t>Canteen, Medical, Transport, Housing</t>
  </si>
  <si>
    <t>Community Activities, Employment Assistance, Housing, Medical</t>
  </si>
  <si>
    <t>Community Activities, Medical, Housing</t>
  </si>
  <si>
    <t>Medical, Transport, Community Activities</t>
  </si>
  <si>
    <t>Schooling, Housing, Canteen, Medical</t>
  </si>
  <si>
    <t>Transport, Employment Assistance, Canteen, Medical</t>
  </si>
  <si>
    <t>Medical, Community Activities, Employment Assistance, Schooling</t>
  </si>
  <si>
    <t>Transport, Employment Assistance, Schooling</t>
  </si>
  <si>
    <t>Community Activities, Medical, Canteen, Schooling</t>
  </si>
  <si>
    <t>Medical, Housing, Community Activities, Transport</t>
  </si>
  <si>
    <t>Housing, Canteen, Employment Assistance</t>
  </si>
  <si>
    <t>Employment Assistance, Schooling, Housing, Community Activities</t>
  </si>
  <si>
    <t>Canteen, Community Activities, Employment Assistance, Housing</t>
  </si>
  <si>
    <t>Schooling, Employment Assistance, Canteen, Transport</t>
  </si>
  <si>
    <t>Employment Assistance, Medical</t>
  </si>
  <si>
    <t>Yes, but they didn’t influence me</t>
  </si>
  <si>
    <t>Expand schooling capacity</t>
  </si>
  <si>
    <t>Improve canteen quality and variety</t>
  </si>
  <si>
    <t>Enhance transparency in welfare schemes</t>
  </si>
  <si>
    <t>Better claim processing</t>
  </si>
  <si>
    <t>Improve transport services</t>
  </si>
  <si>
    <t>Add digital portals for welfare schemes</t>
  </si>
  <si>
    <t>Enhance medical facilities</t>
  </si>
  <si>
    <t>Upgrade housing facilities</t>
  </si>
  <si>
    <t>More cultural activities for employees</t>
  </si>
  <si>
    <t>No additional comments</t>
  </si>
  <si>
    <t>ONGC5240</t>
  </si>
  <si>
    <t>ONGC4091</t>
  </si>
  <si>
    <t>ONGC8197</t>
  </si>
  <si>
    <t>ONGC2342</t>
  </si>
  <si>
    <t>ONGC3652</t>
  </si>
  <si>
    <t>ONGC8183</t>
  </si>
  <si>
    <t>ONGC8356</t>
  </si>
  <si>
    <t>ONGC9955</t>
  </si>
  <si>
    <t>ONGC4225</t>
  </si>
  <si>
    <t xml:space="preserve"> Employment Assistance</t>
  </si>
  <si>
    <t xml:space="preserve"> Schooling</t>
  </si>
  <si>
    <t xml:space="preserve"> Transport</t>
  </si>
  <si>
    <t xml:space="preserve"> Medical</t>
  </si>
  <si>
    <t xml:space="preserve"> Housing</t>
  </si>
  <si>
    <t xml:space="preserve"> Canteen</t>
  </si>
  <si>
    <t xml:space="preserve"> Community Activities</t>
  </si>
  <si>
    <t>Used_canteen</t>
  </si>
  <si>
    <t>Used_Community_Activites</t>
  </si>
  <si>
    <t>Used_Housing</t>
  </si>
  <si>
    <t>Used_Employment_Assistance</t>
  </si>
  <si>
    <t>Used_Medical</t>
  </si>
  <si>
    <t>Used_Schooling</t>
  </si>
  <si>
    <t>Used_transport</t>
  </si>
  <si>
    <t xml:space="preserve">Participation rates </t>
  </si>
  <si>
    <t>Age_Group</t>
  </si>
  <si>
    <t>Service_Group</t>
  </si>
  <si>
    <t xml:space="preserve"> </t>
  </si>
  <si>
    <t>Cost_Benefit_Score</t>
  </si>
  <si>
    <t>Cost_Benefit_Rating</t>
  </si>
  <si>
    <t>Cost_Benefit_Band</t>
  </si>
  <si>
    <t>Suggestions</t>
  </si>
  <si>
    <t>Other_Comments</t>
  </si>
  <si>
    <t>Influenced_To_Stay</t>
  </si>
  <si>
    <t>Considered_Leaving</t>
  </si>
  <si>
    <t>Very high risk</t>
  </si>
  <si>
    <t>Low Risk</t>
  </si>
  <si>
    <t>Medium Risk</t>
  </si>
  <si>
    <t>High risk</t>
  </si>
  <si>
    <t>Very High risk</t>
  </si>
  <si>
    <t xml:space="preserve">Leaving_Risk_Band </t>
  </si>
  <si>
    <t>Felt_More_Productive</t>
  </si>
  <si>
    <t>Performance_Score</t>
  </si>
  <si>
    <t>Took_Sick_Leave</t>
  </si>
  <si>
    <r>
      <t xml:space="preserve"> Productivity Index</t>
    </r>
    <r>
      <rPr>
        <sz val="11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</si>
</sst>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2" xfId="0" applyBorder="1"/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01"/>
  <sheetViews>
    <sheetView workbookViewId="0">
      <selection activeCell="F28" sqref="F28"/>
    </sheetView>
  </sheetViews>
  <sheetFormatPr defaultRowHeight="14.4" x14ac:dyDescent="0.3"/>
  <cols>
    <col min="1" max="1" width="18.109375" bestFit="1" customWidth="1"/>
    <col min="2" max="2" width="21.77734375" bestFit="1" customWidth="1"/>
    <col min="3" max="3" width="24.33203125" bestFit="1" customWidth="1"/>
    <col min="4" max="4" width="14" bestFit="1" customWidth="1"/>
    <col min="5" max="5" width="10.5546875" bestFit="1" customWidth="1"/>
    <col min="6" max="6" width="16.33203125" bestFit="1" customWidth="1"/>
    <col min="7" max="7" width="13.77734375" bestFit="1" customWidth="1"/>
    <col min="8" max="8" width="15.33203125" bestFit="1" customWidth="1"/>
    <col min="9" max="9" width="35.77734375" bestFit="1" customWidth="1"/>
    <col min="10" max="10" width="72.109375" bestFit="1" customWidth="1"/>
    <col min="11" max="11" width="51.44140625" bestFit="1" customWidth="1"/>
    <col min="12" max="12" width="82.44140625" bestFit="1" customWidth="1"/>
    <col min="13" max="13" width="20.33203125" bestFit="1" customWidth="1"/>
    <col min="14" max="14" width="37.88671875" bestFit="1" customWidth="1"/>
    <col min="15" max="16" width="27.77734375" bestFit="1" customWidth="1"/>
    <col min="17" max="17" width="28" bestFit="1" customWidth="1"/>
    <col min="18" max="18" width="26" bestFit="1" customWidth="1"/>
    <col min="19" max="19" width="27.33203125" bestFit="1" customWidth="1"/>
    <col min="20" max="20" width="32.44140625" bestFit="1" customWidth="1"/>
    <col min="21" max="21" width="24.6640625" bestFit="1" customWidth="1"/>
    <col min="22" max="22" width="88.6640625" bestFit="1" customWidth="1"/>
    <col min="23" max="23" width="81.109375" bestFit="1" customWidth="1"/>
    <col min="24" max="24" width="52.6640625" bestFit="1" customWidth="1"/>
    <col min="25" max="25" width="45.33203125" bestFit="1" customWidth="1"/>
    <col min="26" max="26" width="77.6640625" bestFit="1" customWidth="1"/>
    <col min="27" max="27" width="82.5546875" bestFit="1" customWidth="1"/>
    <col min="28" max="28" width="68.77734375" bestFit="1" customWidth="1"/>
    <col min="29" max="29" width="98.33203125" bestFit="1" customWidth="1"/>
    <col min="30" max="30" width="113.6640625" bestFit="1" customWidth="1"/>
  </cols>
  <sheetData>
    <row r="1" spans="1:3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hidden="1" x14ac:dyDescent="0.3">
      <c r="A2" s="2" t="s">
        <v>30</v>
      </c>
      <c r="B2" s="2" t="s">
        <v>535</v>
      </c>
      <c r="C2" s="2" t="s">
        <v>836</v>
      </c>
      <c r="D2" s="2">
        <v>26</v>
      </c>
      <c r="E2" s="2" t="s">
        <v>231</v>
      </c>
      <c r="F2" s="2" t="s">
        <v>237</v>
      </c>
      <c r="G2" s="2" t="s">
        <v>241</v>
      </c>
      <c r="H2" s="2" t="s">
        <v>244</v>
      </c>
      <c r="I2" s="2">
        <v>10</v>
      </c>
      <c r="J2" s="2" t="s">
        <v>243</v>
      </c>
      <c r="K2" s="2" t="s">
        <v>310</v>
      </c>
      <c r="L2" s="2">
        <v>4</v>
      </c>
      <c r="M2" s="2" t="s">
        <v>275</v>
      </c>
      <c r="N2" s="2">
        <v>1</v>
      </c>
      <c r="O2" s="2" t="s">
        <v>313</v>
      </c>
      <c r="P2" s="2" t="s">
        <v>313</v>
      </c>
      <c r="Q2" s="2" t="s">
        <v>311</v>
      </c>
      <c r="R2" s="2" t="s">
        <v>313</v>
      </c>
      <c r="S2" s="2" t="s">
        <v>312</v>
      </c>
      <c r="T2" s="2" t="s">
        <v>311</v>
      </c>
      <c r="U2" s="2" t="s">
        <v>311</v>
      </c>
      <c r="V2" s="2" t="s">
        <v>316</v>
      </c>
      <c r="W2" s="2" t="s">
        <v>316</v>
      </c>
      <c r="X2" s="2" t="s">
        <v>320</v>
      </c>
      <c r="Y2" s="2" t="s">
        <v>315</v>
      </c>
      <c r="Z2" s="2" t="s">
        <v>313</v>
      </c>
      <c r="AA2" s="2" t="s">
        <v>315</v>
      </c>
      <c r="AB2" s="2" t="s">
        <v>323</v>
      </c>
      <c r="AC2" s="2" t="s">
        <v>1098</v>
      </c>
      <c r="AD2" s="2" t="s">
        <v>1105</v>
      </c>
    </row>
    <row r="3" spans="1:30" hidden="1" x14ac:dyDescent="0.3">
      <c r="A3" s="1">
        <v>45712.676782407398</v>
      </c>
      <c r="B3" s="2" t="s">
        <v>114</v>
      </c>
      <c r="C3" s="2" t="s">
        <v>807</v>
      </c>
      <c r="D3" s="2">
        <v>27</v>
      </c>
      <c r="E3" s="2" t="s">
        <v>231</v>
      </c>
      <c r="F3" s="2" t="s">
        <v>234</v>
      </c>
      <c r="G3" s="2" t="s">
        <v>241</v>
      </c>
      <c r="H3" s="2" t="s">
        <v>246</v>
      </c>
      <c r="I3" s="2">
        <v>14</v>
      </c>
      <c r="J3" s="2" t="s">
        <v>299</v>
      </c>
      <c r="K3" s="2" t="s">
        <v>309</v>
      </c>
      <c r="L3" s="2">
        <v>0</v>
      </c>
      <c r="M3" s="2" t="s">
        <v>251</v>
      </c>
      <c r="N3" s="2">
        <v>2</v>
      </c>
      <c r="O3" s="2" t="s">
        <v>311</v>
      </c>
      <c r="P3" s="2" t="s">
        <v>314</v>
      </c>
      <c r="Q3" s="2" t="s">
        <v>312</v>
      </c>
      <c r="R3" s="2" t="s">
        <v>312</v>
      </c>
      <c r="S3" s="2" t="s">
        <v>314</v>
      </c>
      <c r="T3" s="2" t="s">
        <v>312</v>
      </c>
      <c r="U3" s="2" t="s">
        <v>313</v>
      </c>
      <c r="V3" s="2" t="s">
        <v>316</v>
      </c>
      <c r="W3" s="2" t="s">
        <v>316</v>
      </c>
      <c r="X3" s="2" t="s">
        <v>320</v>
      </c>
      <c r="Y3" s="2" t="s">
        <v>316</v>
      </c>
      <c r="Z3" s="2" t="s">
        <v>313</v>
      </c>
      <c r="AA3" s="2" t="s">
        <v>322</v>
      </c>
      <c r="AB3" s="2" t="s">
        <v>326</v>
      </c>
      <c r="AC3" s="2" t="s">
        <v>410</v>
      </c>
      <c r="AD3" s="2" t="s">
        <v>510</v>
      </c>
    </row>
    <row r="4" spans="1:30" x14ac:dyDescent="0.3">
      <c r="A4" s="2" t="s">
        <v>30</v>
      </c>
      <c r="B4" s="2" t="s">
        <v>538</v>
      </c>
      <c r="C4" s="2" t="s">
        <v>150</v>
      </c>
      <c r="D4" s="2">
        <v>28</v>
      </c>
      <c r="E4" s="2" t="s">
        <v>232</v>
      </c>
      <c r="F4" s="2" t="s">
        <v>233</v>
      </c>
      <c r="G4" s="2" t="s">
        <v>243</v>
      </c>
      <c r="H4" s="2" t="s">
        <v>246</v>
      </c>
      <c r="I4" s="2">
        <v>3</v>
      </c>
      <c r="J4" s="2" t="s">
        <v>256</v>
      </c>
      <c r="K4" s="2" t="s">
        <v>308</v>
      </c>
      <c r="L4" s="2">
        <v>16</v>
      </c>
      <c r="M4" s="2" t="s">
        <v>243</v>
      </c>
      <c r="N4" s="2">
        <v>1</v>
      </c>
      <c r="O4" s="2" t="s">
        <v>311</v>
      </c>
      <c r="P4" s="2" t="s">
        <v>311</v>
      </c>
      <c r="Q4" s="2" t="s">
        <v>313</v>
      </c>
      <c r="R4" s="2" t="s">
        <v>314</v>
      </c>
      <c r="S4" s="2" t="s">
        <v>313</v>
      </c>
      <c r="T4" s="2" t="s">
        <v>311</v>
      </c>
      <c r="U4" s="2" t="s">
        <v>311</v>
      </c>
      <c r="V4" s="2" t="s">
        <v>316</v>
      </c>
      <c r="W4" s="2" t="s">
        <v>316</v>
      </c>
      <c r="X4" s="2" t="s">
        <v>318</v>
      </c>
      <c r="Y4" s="2" t="s">
        <v>316</v>
      </c>
      <c r="Z4" s="2" t="s">
        <v>313</v>
      </c>
      <c r="AA4" s="2" t="s">
        <v>1095</v>
      </c>
      <c r="AB4" s="2" t="s">
        <v>325</v>
      </c>
      <c r="AC4" s="2" t="s">
        <v>1101</v>
      </c>
      <c r="AD4" s="2" t="s">
        <v>1105</v>
      </c>
    </row>
    <row r="5" spans="1:30" hidden="1" x14ac:dyDescent="0.3">
      <c r="A5" s="2" t="s">
        <v>30</v>
      </c>
      <c r="B5" s="2" t="s">
        <v>617</v>
      </c>
      <c r="C5" s="2" t="s">
        <v>190</v>
      </c>
      <c r="D5" s="2">
        <v>31</v>
      </c>
      <c r="E5" s="2" t="s">
        <v>231</v>
      </c>
      <c r="F5" s="2" t="s">
        <v>234</v>
      </c>
      <c r="G5" s="2" t="s">
        <v>243</v>
      </c>
      <c r="H5" s="2" t="s">
        <v>246</v>
      </c>
      <c r="I5" s="2">
        <v>10</v>
      </c>
      <c r="J5" s="2" t="s">
        <v>1094</v>
      </c>
      <c r="K5" s="2" t="s">
        <v>308</v>
      </c>
      <c r="L5" s="2">
        <v>10</v>
      </c>
      <c r="M5" s="2" t="s">
        <v>249</v>
      </c>
      <c r="N5" s="2">
        <v>2</v>
      </c>
      <c r="O5" s="2" t="s">
        <v>312</v>
      </c>
      <c r="P5" s="2" t="s">
        <v>314</v>
      </c>
      <c r="Q5" s="2" t="s">
        <v>312</v>
      </c>
      <c r="R5" s="2" t="s">
        <v>312</v>
      </c>
      <c r="S5" s="2" t="s">
        <v>314</v>
      </c>
      <c r="T5" s="2" t="s">
        <v>312</v>
      </c>
      <c r="U5" s="2" t="s">
        <v>312</v>
      </c>
      <c r="V5" s="2" t="s">
        <v>316</v>
      </c>
      <c r="W5" s="2" t="s">
        <v>316</v>
      </c>
      <c r="X5" s="2" t="s">
        <v>320</v>
      </c>
      <c r="Y5" s="2" t="s">
        <v>315</v>
      </c>
      <c r="Z5" s="2" t="s">
        <v>313</v>
      </c>
      <c r="AA5" s="2" t="s">
        <v>321</v>
      </c>
      <c r="AB5" s="2" t="s">
        <v>323</v>
      </c>
      <c r="AC5" s="2" t="s">
        <v>1100</v>
      </c>
      <c r="AD5" s="2" t="s">
        <v>1105</v>
      </c>
    </row>
    <row r="6" spans="1:30" hidden="1" x14ac:dyDescent="0.3">
      <c r="A6" s="1">
        <v>45776.380300925928</v>
      </c>
      <c r="B6" s="2" t="s">
        <v>67</v>
      </c>
      <c r="C6" s="2" t="s">
        <v>922</v>
      </c>
      <c r="D6" s="2">
        <v>35</v>
      </c>
      <c r="E6" s="2" t="s">
        <v>231</v>
      </c>
      <c r="F6" s="2" t="s">
        <v>236</v>
      </c>
      <c r="G6" s="2" t="s">
        <v>241</v>
      </c>
      <c r="H6" s="2" t="s">
        <v>245</v>
      </c>
      <c r="I6" s="2">
        <v>16</v>
      </c>
      <c r="J6" s="2" t="s">
        <v>270</v>
      </c>
      <c r="K6" s="2" t="s">
        <v>308</v>
      </c>
      <c r="L6" s="2">
        <v>14</v>
      </c>
      <c r="M6" s="2" t="s">
        <v>249</v>
      </c>
      <c r="N6" s="2">
        <v>1</v>
      </c>
      <c r="O6" s="2" t="s">
        <v>314</v>
      </c>
      <c r="P6" s="2" t="s">
        <v>313</v>
      </c>
      <c r="Q6" s="2" t="s">
        <v>311</v>
      </c>
      <c r="R6" s="2" t="s">
        <v>314</v>
      </c>
      <c r="S6" s="2" t="s">
        <v>313</v>
      </c>
      <c r="T6" s="2" t="s">
        <v>312</v>
      </c>
      <c r="U6" s="2" t="s">
        <v>311</v>
      </c>
      <c r="V6" s="2" t="s">
        <v>316</v>
      </c>
      <c r="W6" s="2" t="s">
        <v>316</v>
      </c>
      <c r="X6" s="2" t="s">
        <v>317</v>
      </c>
      <c r="Y6" s="2" t="s">
        <v>316</v>
      </c>
      <c r="Z6" s="2" t="s">
        <v>313</v>
      </c>
      <c r="AA6" s="2" t="s">
        <v>322</v>
      </c>
      <c r="AB6" s="2" t="s">
        <v>326</v>
      </c>
      <c r="AC6" s="2" t="s">
        <v>363</v>
      </c>
      <c r="AD6" s="2" t="s">
        <v>463</v>
      </c>
    </row>
    <row r="7" spans="1:30" x14ac:dyDescent="0.3">
      <c r="A7" s="2" t="s">
        <v>30</v>
      </c>
      <c r="B7" s="2" t="s">
        <v>649</v>
      </c>
      <c r="C7" s="2" t="s">
        <v>215</v>
      </c>
      <c r="D7" s="2">
        <v>36</v>
      </c>
      <c r="E7" s="2" t="s">
        <v>232</v>
      </c>
      <c r="F7" s="2" t="s">
        <v>236</v>
      </c>
      <c r="G7" s="2" t="s">
        <v>242</v>
      </c>
      <c r="H7" s="2" t="s">
        <v>244</v>
      </c>
      <c r="I7" s="2">
        <v>30</v>
      </c>
      <c r="J7" s="2" t="s">
        <v>251</v>
      </c>
      <c r="K7" s="2" t="s">
        <v>308</v>
      </c>
      <c r="L7" s="2">
        <v>15</v>
      </c>
      <c r="M7" s="2" t="s">
        <v>275</v>
      </c>
      <c r="N7" s="2">
        <v>1</v>
      </c>
      <c r="O7" s="2" t="s">
        <v>313</v>
      </c>
      <c r="P7" s="2" t="s">
        <v>312</v>
      </c>
      <c r="Q7" s="2" t="s">
        <v>314</v>
      </c>
      <c r="R7" s="2" t="s">
        <v>311</v>
      </c>
      <c r="S7" s="2" t="s">
        <v>311</v>
      </c>
      <c r="T7" s="2" t="s">
        <v>311</v>
      </c>
      <c r="U7" s="2" t="s">
        <v>311</v>
      </c>
      <c r="V7" s="2" t="s">
        <v>316</v>
      </c>
      <c r="W7" s="2" t="s">
        <v>316</v>
      </c>
      <c r="X7" s="2" t="s">
        <v>319</v>
      </c>
      <c r="Y7" s="2" t="s">
        <v>316</v>
      </c>
      <c r="Z7" s="2" t="s">
        <v>313</v>
      </c>
      <c r="AA7" s="2" t="s">
        <v>315</v>
      </c>
      <c r="AB7" s="2" t="s">
        <v>326</v>
      </c>
      <c r="AC7" s="2" t="s">
        <v>1096</v>
      </c>
      <c r="AD7" s="2" t="s">
        <v>1105</v>
      </c>
    </row>
    <row r="8" spans="1:30" hidden="1" x14ac:dyDescent="0.3">
      <c r="A8" s="2" t="s">
        <v>30</v>
      </c>
      <c r="B8" s="2" t="s">
        <v>579</v>
      </c>
      <c r="C8" s="2" t="s">
        <v>817</v>
      </c>
      <c r="D8" s="2">
        <v>38</v>
      </c>
      <c r="E8" s="2" t="s">
        <v>231</v>
      </c>
      <c r="F8" s="2" t="s">
        <v>235</v>
      </c>
      <c r="G8" s="2" t="s">
        <v>241</v>
      </c>
      <c r="H8" s="2" t="s">
        <v>245</v>
      </c>
      <c r="I8" s="2">
        <v>22</v>
      </c>
      <c r="J8" s="2" t="s">
        <v>243</v>
      </c>
      <c r="K8" s="2" t="s">
        <v>309</v>
      </c>
      <c r="L8" s="2">
        <v>9</v>
      </c>
      <c r="M8" s="2" t="s">
        <v>251</v>
      </c>
      <c r="N8" s="2">
        <v>1</v>
      </c>
      <c r="O8" s="2" t="s">
        <v>312</v>
      </c>
      <c r="P8" s="2" t="s">
        <v>312</v>
      </c>
      <c r="Q8" s="2" t="s">
        <v>314</v>
      </c>
      <c r="R8" s="2" t="s">
        <v>312</v>
      </c>
      <c r="S8" s="2" t="s">
        <v>313</v>
      </c>
      <c r="T8" s="2" t="s">
        <v>314</v>
      </c>
      <c r="U8" s="2" t="s">
        <v>314</v>
      </c>
      <c r="V8" s="2" t="s">
        <v>316</v>
      </c>
      <c r="W8" s="2" t="s">
        <v>316</v>
      </c>
      <c r="X8" s="2" t="s">
        <v>318</v>
      </c>
      <c r="Y8" s="2" t="s">
        <v>315</v>
      </c>
      <c r="Z8" s="2" t="s">
        <v>313</v>
      </c>
      <c r="AA8" s="2" t="s">
        <v>315</v>
      </c>
      <c r="AB8" s="2" t="s">
        <v>323</v>
      </c>
      <c r="AC8" s="2" t="s">
        <v>1101</v>
      </c>
      <c r="AD8" s="2" t="s">
        <v>1105</v>
      </c>
    </row>
    <row r="9" spans="1:30" x14ac:dyDescent="0.3">
      <c r="A9" s="2" t="s">
        <v>30</v>
      </c>
      <c r="B9" s="2" t="s">
        <v>531</v>
      </c>
      <c r="C9" s="2" t="s">
        <v>740</v>
      </c>
      <c r="D9" s="2">
        <v>40</v>
      </c>
      <c r="E9" s="2" t="s">
        <v>232</v>
      </c>
      <c r="F9" s="2" t="s">
        <v>233</v>
      </c>
      <c r="G9" s="2" t="s">
        <v>239</v>
      </c>
      <c r="H9" s="2" t="s">
        <v>245</v>
      </c>
      <c r="I9" s="2">
        <v>7</v>
      </c>
      <c r="J9" s="2" t="s">
        <v>995</v>
      </c>
      <c r="K9" s="2" t="s">
        <v>309</v>
      </c>
      <c r="L9" s="2">
        <v>1</v>
      </c>
      <c r="M9" s="2" t="s">
        <v>255</v>
      </c>
      <c r="N9" s="2">
        <v>3</v>
      </c>
      <c r="O9" s="2" t="s">
        <v>313</v>
      </c>
      <c r="P9" s="2" t="s">
        <v>311</v>
      </c>
      <c r="Q9" s="2" t="s">
        <v>312</v>
      </c>
      <c r="R9" s="2" t="s">
        <v>313</v>
      </c>
      <c r="S9" s="2" t="s">
        <v>311</v>
      </c>
      <c r="T9" s="2" t="s">
        <v>313</v>
      </c>
      <c r="U9" s="2" t="s">
        <v>313</v>
      </c>
      <c r="V9" s="2" t="s">
        <v>316</v>
      </c>
      <c r="W9" s="2" t="s">
        <v>316</v>
      </c>
      <c r="X9" s="2" t="s">
        <v>319</v>
      </c>
      <c r="Y9" s="2" t="s">
        <v>315</v>
      </c>
      <c r="Z9" s="2" t="s">
        <v>313</v>
      </c>
      <c r="AA9" s="2" t="s">
        <v>315</v>
      </c>
      <c r="AB9" s="2" t="s">
        <v>325</v>
      </c>
      <c r="AC9" s="2" t="s">
        <v>1103</v>
      </c>
      <c r="AD9" s="2" t="s">
        <v>1105</v>
      </c>
    </row>
    <row r="10" spans="1:30" hidden="1" x14ac:dyDescent="0.3">
      <c r="A10" s="1">
        <v>45725.89576388889</v>
      </c>
      <c r="B10" s="2" t="s">
        <v>55</v>
      </c>
      <c r="C10" s="2" t="s">
        <v>674</v>
      </c>
      <c r="D10" s="2">
        <v>45</v>
      </c>
      <c r="E10" s="2" t="s">
        <v>231</v>
      </c>
      <c r="F10" s="2" t="s">
        <v>235</v>
      </c>
      <c r="G10" s="2" t="s">
        <v>238</v>
      </c>
      <c r="H10" s="2" t="s">
        <v>245</v>
      </c>
      <c r="I10" s="2">
        <v>17</v>
      </c>
      <c r="J10" s="2" t="s">
        <v>264</v>
      </c>
      <c r="K10" s="2" t="s">
        <v>310</v>
      </c>
      <c r="L10" s="2">
        <v>8</v>
      </c>
      <c r="M10" s="2" t="s">
        <v>275</v>
      </c>
      <c r="N10" s="2">
        <v>3</v>
      </c>
      <c r="O10" s="2" t="s">
        <v>312</v>
      </c>
      <c r="P10" s="2" t="s">
        <v>311</v>
      </c>
      <c r="Q10" s="2" t="s">
        <v>312</v>
      </c>
      <c r="R10" s="2" t="s">
        <v>314</v>
      </c>
      <c r="S10" s="2" t="s">
        <v>314</v>
      </c>
      <c r="T10" s="2" t="s">
        <v>312</v>
      </c>
      <c r="U10" s="2" t="s">
        <v>314</v>
      </c>
      <c r="V10" s="2" t="s">
        <v>316</v>
      </c>
      <c r="W10" s="2" t="s">
        <v>316</v>
      </c>
      <c r="X10" s="2" t="s">
        <v>319</v>
      </c>
      <c r="Y10" s="2" t="s">
        <v>315</v>
      </c>
      <c r="Z10" s="2" t="s">
        <v>313</v>
      </c>
      <c r="AA10" s="2" t="s">
        <v>321</v>
      </c>
      <c r="AB10" s="2" t="s">
        <v>323</v>
      </c>
      <c r="AC10" s="2" t="s">
        <v>351</v>
      </c>
      <c r="AD10" s="2" t="s">
        <v>451</v>
      </c>
    </row>
    <row r="11" spans="1:30" hidden="1" x14ac:dyDescent="0.3">
      <c r="A11" s="1">
        <v>45760.906712962962</v>
      </c>
      <c r="B11" s="2" t="s">
        <v>90</v>
      </c>
      <c r="C11" s="2" t="s">
        <v>920</v>
      </c>
      <c r="D11" s="2">
        <v>46</v>
      </c>
      <c r="E11" s="2" t="s">
        <v>231</v>
      </c>
      <c r="F11" s="2" t="s">
        <v>234</v>
      </c>
      <c r="G11" s="2" t="s">
        <v>243</v>
      </c>
      <c r="H11" s="2" t="s">
        <v>245</v>
      </c>
      <c r="I11" s="2">
        <v>31</v>
      </c>
      <c r="J11" s="2" t="s">
        <v>286</v>
      </c>
      <c r="K11" s="2" t="s">
        <v>310</v>
      </c>
      <c r="L11" s="2">
        <v>14</v>
      </c>
      <c r="M11" s="2" t="s">
        <v>241</v>
      </c>
      <c r="N11" s="2">
        <v>1</v>
      </c>
      <c r="O11" s="2" t="s">
        <v>312</v>
      </c>
      <c r="P11" s="2" t="s">
        <v>311</v>
      </c>
      <c r="Q11" s="2" t="s">
        <v>312</v>
      </c>
      <c r="R11" s="2" t="s">
        <v>311</v>
      </c>
      <c r="S11" s="2" t="s">
        <v>313</v>
      </c>
      <c r="T11" s="2" t="s">
        <v>313</v>
      </c>
      <c r="U11" s="2" t="s">
        <v>314</v>
      </c>
      <c r="V11" s="2" t="s">
        <v>316</v>
      </c>
      <c r="W11" s="2" t="s">
        <v>316</v>
      </c>
      <c r="X11" s="2" t="s">
        <v>319</v>
      </c>
      <c r="Y11" s="2" t="s">
        <v>315</v>
      </c>
      <c r="Z11" s="2" t="s">
        <v>313</v>
      </c>
      <c r="AA11" s="2" t="s">
        <v>322</v>
      </c>
      <c r="AB11" s="2" t="s">
        <v>324</v>
      </c>
      <c r="AC11" s="2" t="s">
        <v>386</v>
      </c>
      <c r="AD11" s="2" t="s">
        <v>486</v>
      </c>
    </row>
    <row r="12" spans="1:30" x14ac:dyDescent="0.3">
      <c r="A12" s="2" t="s">
        <v>30</v>
      </c>
      <c r="B12" s="2" t="s">
        <v>529</v>
      </c>
      <c r="C12" s="2" t="s">
        <v>881</v>
      </c>
      <c r="D12" s="2">
        <v>46</v>
      </c>
      <c r="E12" s="2" t="s">
        <v>232</v>
      </c>
      <c r="F12" s="2" t="s">
        <v>234</v>
      </c>
      <c r="G12" s="2" t="s">
        <v>242</v>
      </c>
      <c r="H12" s="2" t="s">
        <v>246</v>
      </c>
      <c r="I12" s="2">
        <v>27</v>
      </c>
      <c r="J12" s="2" t="s">
        <v>241</v>
      </c>
      <c r="K12" s="2" t="s">
        <v>310</v>
      </c>
      <c r="L12" s="2">
        <v>13</v>
      </c>
      <c r="M12" s="2" t="s">
        <v>249</v>
      </c>
      <c r="N12" s="2">
        <v>2</v>
      </c>
      <c r="O12" s="2" t="s">
        <v>314</v>
      </c>
      <c r="P12" s="2" t="s">
        <v>314</v>
      </c>
      <c r="Q12" s="2" t="s">
        <v>313</v>
      </c>
      <c r="R12" s="2" t="s">
        <v>314</v>
      </c>
      <c r="S12" s="2" t="s">
        <v>314</v>
      </c>
      <c r="T12" s="2" t="s">
        <v>311</v>
      </c>
      <c r="U12" s="2" t="s">
        <v>311</v>
      </c>
      <c r="V12" s="2" t="s">
        <v>316</v>
      </c>
      <c r="W12" s="2" t="s">
        <v>316</v>
      </c>
      <c r="X12" s="2" t="s">
        <v>318</v>
      </c>
      <c r="Y12" s="2" t="s">
        <v>316</v>
      </c>
      <c r="Z12" s="2" t="s">
        <v>313</v>
      </c>
      <c r="AA12" s="2" t="s">
        <v>321</v>
      </c>
      <c r="AB12" s="2" t="s">
        <v>326</v>
      </c>
      <c r="AC12" s="2" t="s">
        <v>1098</v>
      </c>
      <c r="AD12" s="2" t="s">
        <v>1105</v>
      </c>
    </row>
    <row r="13" spans="1:30" x14ac:dyDescent="0.3">
      <c r="A13" s="2" t="s">
        <v>30</v>
      </c>
      <c r="B13" s="2" t="s">
        <v>562</v>
      </c>
      <c r="C13" s="2" t="s">
        <v>163</v>
      </c>
      <c r="D13" s="2">
        <v>46</v>
      </c>
      <c r="E13" s="2" t="s">
        <v>232</v>
      </c>
      <c r="F13" s="2" t="s">
        <v>234</v>
      </c>
      <c r="G13" s="2" t="s">
        <v>243</v>
      </c>
      <c r="H13" s="2" t="s">
        <v>246</v>
      </c>
      <c r="I13" s="2">
        <v>20</v>
      </c>
      <c r="J13" s="2" t="s">
        <v>243</v>
      </c>
      <c r="K13" s="2" t="s">
        <v>308</v>
      </c>
      <c r="L13" s="2">
        <v>16</v>
      </c>
      <c r="M13" s="2" t="s">
        <v>255</v>
      </c>
      <c r="N13" s="2">
        <v>2</v>
      </c>
      <c r="O13" s="2" t="s">
        <v>311</v>
      </c>
      <c r="P13" s="2" t="s">
        <v>314</v>
      </c>
      <c r="Q13" s="2" t="s">
        <v>312</v>
      </c>
      <c r="R13" s="2" t="s">
        <v>313</v>
      </c>
      <c r="S13" s="2" t="s">
        <v>312</v>
      </c>
      <c r="T13" s="2" t="s">
        <v>311</v>
      </c>
      <c r="U13" s="2" t="s">
        <v>311</v>
      </c>
      <c r="V13" s="2" t="s">
        <v>316</v>
      </c>
      <c r="W13" s="2" t="s">
        <v>316</v>
      </c>
      <c r="X13" s="2" t="s">
        <v>318</v>
      </c>
      <c r="Y13" s="2" t="s">
        <v>315</v>
      </c>
      <c r="Z13" s="2" t="s">
        <v>313</v>
      </c>
      <c r="AA13" s="2" t="s">
        <v>315</v>
      </c>
      <c r="AB13" s="2" t="s">
        <v>324</v>
      </c>
      <c r="AC13" s="2" t="s">
        <v>1101</v>
      </c>
      <c r="AD13" s="2" t="s">
        <v>1105</v>
      </c>
    </row>
    <row r="14" spans="1:30" x14ac:dyDescent="0.3">
      <c r="A14" s="2" t="s">
        <v>30</v>
      </c>
      <c r="B14" s="2" t="s">
        <v>596</v>
      </c>
      <c r="C14" s="2" t="s">
        <v>228</v>
      </c>
      <c r="D14" s="2">
        <v>53</v>
      </c>
      <c r="E14" s="2" t="s">
        <v>232</v>
      </c>
      <c r="F14" s="2" t="s">
        <v>236</v>
      </c>
      <c r="G14" s="2" t="s">
        <v>239</v>
      </c>
      <c r="H14" s="2" t="s">
        <v>244</v>
      </c>
      <c r="I14" s="2">
        <v>13</v>
      </c>
      <c r="J14" s="2" t="s">
        <v>1001</v>
      </c>
      <c r="K14" s="2" t="s">
        <v>309</v>
      </c>
      <c r="L14" s="2">
        <v>5</v>
      </c>
      <c r="M14" s="2" t="s">
        <v>241</v>
      </c>
      <c r="N14" s="2">
        <v>0</v>
      </c>
      <c r="O14" s="2" t="s">
        <v>314</v>
      </c>
      <c r="P14" s="2" t="s">
        <v>313</v>
      </c>
      <c r="Q14" s="2" t="s">
        <v>312</v>
      </c>
      <c r="R14" s="2" t="s">
        <v>314</v>
      </c>
      <c r="S14" s="2" t="s">
        <v>313</v>
      </c>
      <c r="T14" s="2" t="s">
        <v>313</v>
      </c>
      <c r="U14" s="2" t="s">
        <v>313</v>
      </c>
      <c r="V14" s="2" t="s">
        <v>316</v>
      </c>
      <c r="W14" s="2" t="s">
        <v>316</v>
      </c>
      <c r="X14" s="2" t="s">
        <v>317</v>
      </c>
      <c r="Y14" s="2" t="s">
        <v>316</v>
      </c>
      <c r="Z14" s="2" t="s">
        <v>313</v>
      </c>
      <c r="AA14" s="2" t="s">
        <v>1095</v>
      </c>
      <c r="AB14" s="2" t="s">
        <v>324</v>
      </c>
      <c r="AC14" s="2" t="s">
        <v>1097</v>
      </c>
      <c r="AD14" s="2" t="s">
        <v>1105</v>
      </c>
    </row>
    <row r="15" spans="1:30" hidden="1" x14ac:dyDescent="0.3">
      <c r="A15" s="2" t="s">
        <v>30</v>
      </c>
      <c r="B15" s="2" t="s">
        <v>607</v>
      </c>
      <c r="C15" s="2" t="s">
        <v>709</v>
      </c>
      <c r="D15" s="2">
        <v>55</v>
      </c>
      <c r="E15" s="2" t="s">
        <v>231</v>
      </c>
      <c r="F15" s="2" t="s">
        <v>237</v>
      </c>
      <c r="G15" s="2" t="s">
        <v>241</v>
      </c>
      <c r="H15" s="2" t="s">
        <v>244</v>
      </c>
      <c r="I15" s="2">
        <v>28</v>
      </c>
      <c r="J15" s="2" t="s">
        <v>273</v>
      </c>
      <c r="K15" s="2" t="s">
        <v>309</v>
      </c>
      <c r="L15" s="2">
        <v>15</v>
      </c>
      <c r="M15" s="2" t="s">
        <v>275</v>
      </c>
      <c r="N15" s="2">
        <v>0</v>
      </c>
      <c r="O15" s="2" t="s">
        <v>313</v>
      </c>
      <c r="P15" s="2" t="s">
        <v>312</v>
      </c>
      <c r="Q15" s="2" t="s">
        <v>313</v>
      </c>
      <c r="R15" s="2" t="s">
        <v>313</v>
      </c>
      <c r="S15" s="2" t="s">
        <v>312</v>
      </c>
      <c r="T15" s="2" t="s">
        <v>313</v>
      </c>
      <c r="U15" s="2" t="s">
        <v>313</v>
      </c>
      <c r="V15" s="2" t="s">
        <v>316</v>
      </c>
      <c r="W15" s="2" t="s">
        <v>316</v>
      </c>
      <c r="X15" s="2" t="s">
        <v>318</v>
      </c>
      <c r="Y15" s="2" t="s">
        <v>316</v>
      </c>
      <c r="Z15" s="2" t="s">
        <v>313</v>
      </c>
      <c r="AA15" s="2" t="s">
        <v>316</v>
      </c>
      <c r="AB15" s="2" t="s">
        <v>326</v>
      </c>
      <c r="AC15" s="2" t="s">
        <v>1101</v>
      </c>
      <c r="AD15" s="2" t="s">
        <v>1105</v>
      </c>
    </row>
    <row r="16" spans="1:30" x14ac:dyDescent="0.3">
      <c r="A16" s="2" t="s">
        <v>30</v>
      </c>
      <c r="B16" s="2" t="s">
        <v>610</v>
      </c>
      <c r="C16" s="2" t="s">
        <v>683</v>
      </c>
      <c r="D16" s="2">
        <v>55</v>
      </c>
      <c r="E16" s="2" t="s">
        <v>232</v>
      </c>
      <c r="F16" s="2" t="s">
        <v>235</v>
      </c>
      <c r="G16" s="2" t="s">
        <v>239</v>
      </c>
      <c r="H16" s="2" t="s">
        <v>245</v>
      </c>
      <c r="I16" s="2">
        <v>29</v>
      </c>
      <c r="J16" s="2" t="s">
        <v>255</v>
      </c>
      <c r="K16" s="2" t="s">
        <v>309</v>
      </c>
      <c r="L16" s="2">
        <v>6</v>
      </c>
      <c r="M16" s="2" t="s">
        <v>251</v>
      </c>
      <c r="N16" s="2">
        <v>2</v>
      </c>
      <c r="O16" s="2" t="s">
        <v>311</v>
      </c>
      <c r="P16" s="2" t="s">
        <v>314</v>
      </c>
      <c r="Q16" s="2" t="s">
        <v>312</v>
      </c>
      <c r="R16" s="2" t="s">
        <v>313</v>
      </c>
      <c r="S16" s="2" t="s">
        <v>313</v>
      </c>
      <c r="T16" s="2" t="s">
        <v>311</v>
      </c>
      <c r="U16" s="2" t="s">
        <v>311</v>
      </c>
      <c r="V16" s="2" t="s">
        <v>316</v>
      </c>
      <c r="W16" s="2" t="s">
        <v>316</v>
      </c>
      <c r="X16" s="2" t="s">
        <v>317</v>
      </c>
      <c r="Y16" s="2" t="s">
        <v>315</v>
      </c>
      <c r="Z16" s="2" t="s">
        <v>313</v>
      </c>
      <c r="AA16" s="2" t="s">
        <v>315</v>
      </c>
      <c r="AB16" s="2" t="s">
        <v>324</v>
      </c>
      <c r="AC16" s="2" t="s">
        <v>1096</v>
      </c>
      <c r="AD16" s="2" t="s">
        <v>1105</v>
      </c>
    </row>
    <row r="17" spans="1:30" hidden="1" x14ac:dyDescent="0.3">
      <c r="A17" s="2" t="s">
        <v>30</v>
      </c>
      <c r="B17" s="2" t="s">
        <v>531</v>
      </c>
      <c r="C17" s="2" t="s">
        <v>711</v>
      </c>
      <c r="D17" s="2">
        <v>56</v>
      </c>
      <c r="E17" s="2" t="s">
        <v>231</v>
      </c>
      <c r="F17" s="2" t="s">
        <v>237</v>
      </c>
      <c r="G17" s="2" t="s">
        <v>240</v>
      </c>
      <c r="H17" s="2" t="s">
        <v>245</v>
      </c>
      <c r="I17" s="2">
        <v>1</v>
      </c>
      <c r="J17" s="2" t="s">
        <v>1067</v>
      </c>
      <c r="K17" s="2" t="s">
        <v>310</v>
      </c>
      <c r="L17" s="2">
        <v>5</v>
      </c>
      <c r="M17" s="2" t="s">
        <v>243</v>
      </c>
      <c r="N17" s="2">
        <v>1</v>
      </c>
      <c r="O17" s="2" t="s">
        <v>311</v>
      </c>
      <c r="P17" s="2" t="s">
        <v>313</v>
      </c>
      <c r="Q17" s="2" t="s">
        <v>313</v>
      </c>
      <c r="R17" s="2" t="s">
        <v>313</v>
      </c>
      <c r="S17" s="2" t="s">
        <v>314</v>
      </c>
      <c r="T17" s="2" t="s">
        <v>314</v>
      </c>
      <c r="U17" s="2" t="s">
        <v>314</v>
      </c>
      <c r="V17" s="2" t="s">
        <v>316</v>
      </c>
      <c r="W17" s="2" t="s">
        <v>316</v>
      </c>
      <c r="X17" s="2" t="s">
        <v>320</v>
      </c>
      <c r="Y17" s="2" t="s">
        <v>315</v>
      </c>
      <c r="Z17" s="2" t="s">
        <v>313</v>
      </c>
      <c r="AA17" s="2" t="s">
        <v>316</v>
      </c>
      <c r="AB17" s="2" t="s">
        <v>325</v>
      </c>
      <c r="AC17" s="2" t="s">
        <v>1103</v>
      </c>
      <c r="AD17" s="2" t="s">
        <v>1105</v>
      </c>
    </row>
    <row r="18" spans="1:30" x14ac:dyDescent="0.3">
      <c r="A18" s="2" t="s">
        <v>30</v>
      </c>
      <c r="B18" s="2" t="s">
        <v>588</v>
      </c>
      <c r="C18" s="2" t="s">
        <v>846</v>
      </c>
      <c r="D18" s="2">
        <v>57</v>
      </c>
      <c r="E18" s="2" t="s">
        <v>232</v>
      </c>
      <c r="F18" s="2" t="s">
        <v>235</v>
      </c>
      <c r="G18" s="2" t="s">
        <v>241</v>
      </c>
      <c r="H18" s="2" t="s">
        <v>244</v>
      </c>
      <c r="I18" s="2">
        <v>2</v>
      </c>
      <c r="J18" s="2" t="s">
        <v>259</v>
      </c>
      <c r="K18" s="2" t="s">
        <v>310</v>
      </c>
      <c r="L18" s="2">
        <v>10</v>
      </c>
      <c r="M18" s="2" t="s">
        <v>243</v>
      </c>
      <c r="N18" s="2">
        <v>0</v>
      </c>
      <c r="O18" s="2" t="s">
        <v>312</v>
      </c>
      <c r="P18" s="2" t="s">
        <v>313</v>
      </c>
      <c r="Q18" s="2" t="s">
        <v>312</v>
      </c>
      <c r="R18" s="2" t="s">
        <v>311</v>
      </c>
      <c r="S18" s="2" t="s">
        <v>313</v>
      </c>
      <c r="T18" s="2" t="s">
        <v>312</v>
      </c>
      <c r="U18" s="2" t="s">
        <v>312</v>
      </c>
      <c r="V18" s="2" t="s">
        <v>316</v>
      </c>
      <c r="W18" s="2" t="s">
        <v>316</v>
      </c>
      <c r="X18" s="2" t="s">
        <v>319</v>
      </c>
      <c r="Y18" s="2" t="s">
        <v>315</v>
      </c>
      <c r="Z18" s="2" t="s">
        <v>313</v>
      </c>
      <c r="AA18" s="2" t="s">
        <v>315</v>
      </c>
      <c r="AB18" s="2" t="s">
        <v>326</v>
      </c>
      <c r="AC18" s="2" t="s">
        <v>1096</v>
      </c>
      <c r="AD18" s="2" t="s">
        <v>1105</v>
      </c>
    </row>
    <row r="19" spans="1:30" hidden="1" x14ac:dyDescent="0.3">
      <c r="A19" s="2" t="s">
        <v>30</v>
      </c>
      <c r="B19" s="2" t="s">
        <v>624</v>
      </c>
      <c r="C19" s="2" t="s">
        <v>214</v>
      </c>
      <c r="D19" s="2">
        <v>28</v>
      </c>
      <c r="E19" s="2" t="s">
        <v>231</v>
      </c>
      <c r="F19" s="2" t="s">
        <v>236</v>
      </c>
      <c r="G19" s="2" t="s">
        <v>240</v>
      </c>
      <c r="H19" s="2" t="s">
        <v>246</v>
      </c>
      <c r="I19" s="2">
        <v>1</v>
      </c>
      <c r="J19" s="2" t="s">
        <v>249</v>
      </c>
      <c r="K19" s="2" t="s">
        <v>308</v>
      </c>
      <c r="L19" s="2">
        <v>7</v>
      </c>
      <c r="M19" s="2" t="s">
        <v>251</v>
      </c>
      <c r="N19" s="2">
        <v>1</v>
      </c>
      <c r="O19" s="2" t="s">
        <v>311</v>
      </c>
      <c r="P19" s="2" t="s">
        <v>313</v>
      </c>
      <c r="Q19" s="2" t="s">
        <v>314</v>
      </c>
      <c r="R19" s="2" t="s">
        <v>311</v>
      </c>
      <c r="S19" s="2" t="s">
        <v>313</v>
      </c>
      <c r="T19" s="2" t="s">
        <v>314</v>
      </c>
      <c r="U19" s="2" t="s">
        <v>314</v>
      </c>
      <c r="V19" s="2" t="s">
        <v>316</v>
      </c>
      <c r="W19" s="2" t="s">
        <v>316</v>
      </c>
      <c r="X19" s="2" t="s">
        <v>320</v>
      </c>
      <c r="Y19" s="2" t="s">
        <v>315</v>
      </c>
      <c r="Z19" s="2" t="s">
        <v>311</v>
      </c>
      <c r="AA19" s="2" t="s">
        <v>321</v>
      </c>
      <c r="AB19" s="2" t="s">
        <v>326</v>
      </c>
      <c r="AC19" s="2" t="s">
        <v>1100</v>
      </c>
      <c r="AD19" s="2" t="s">
        <v>1105</v>
      </c>
    </row>
    <row r="20" spans="1:30" hidden="1" x14ac:dyDescent="0.3">
      <c r="A20" s="1">
        <v>45673.252893518518</v>
      </c>
      <c r="B20" s="2" t="s">
        <v>121</v>
      </c>
      <c r="C20" s="2" t="s">
        <v>792</v>
      </c>
      <c r="D20" s="2">
        <v>29</v>
      </c>
      <c r="E20" s="2" t="s">
        <v>231</v>
      </c>
      <c r="F20" s="2" t="s">
        <v>233</v>
      </c>
      <c r="G20" s="2" t="s">
        <v>238</v>
      </c>
      <c r="H20" s="2" t="s">
        <v>245</v>
      </c>
      <c r="I20" s="2">
        <v>10</v>
      </c>
      <c r="J20" s="2" t="s">
        <v>302</v>
      </c>
      <c r="K20" s="2" t="s">
        <v>308</v>
      </c>
      <c r="L20" s="2">
        <v>2</v>
      </c>
      <c r="M20" s="2" t="s">
        <v>241</v>
      </c>
      <c r="N20" s="2">
        <v>1</v>
      </c>
      <c r="O20" s="2" t="s">
        <v>314</v>
      </c>
      <c r="P20" s="2" t="s">
        <v>313</v>
      </c>
      <c r="Q20" s="2" t="s">
        <v>313</v>
      </c>
      <c r="R20" s="2" t="s">
        <v>311</v>
      </c>
      <c r="S20" s="2" t="s">
        <v>312</v>
      </c>
      <c r="T20" s="2" t="s">
        <v>311</v>
      </c>
      <c r="U20" s="2" t="s">
        <v>312</v>
      </c>
      <c r="V20" s="2" t="s">
        <v>316</v>
      </c>
      <c r="W20" s="2" t="s">
        <v>316</v>
      </c>
      <c r="X20" s="2" t="s">
        <v>320</v>
      </c>
      <c r="Y20" s="2" t="s">
        <v>315</v>
      </c>
      <c r="Z20" s="2" t="s">
        <v>311</v>
      </c>
      <c r="AA20" s="2" t="s">
        <v>321</v>
      </c>
      <c r="AB20" s="2" t="s">
        <v>326</v>
      </c>
      <c r="AC20" s="2" t="s">
        <v>417</v>
      </c>
      <c r="AD20" s="2" t="s">
        <v>517</v>
      </c>
    </row>
    <row r="21" spans="1:30" x14ac:dyDescent="0.3">
      <c r="A21" s="1">
        <v>45743.740706018521</v>
      </c>
      <c r="B21" s="2" t="s">
        <v>109</v>
      </c>
      <c r="C21" s="2" t="s">
        <v>703</v>
      </c>
      <c r="D21" s="2">
        <v>30</v>
      </c>
      <c r="E21" s="2" t="s">
        <v>232</v>
      </c>
      <c r="F21" s="2" t="s">
        <v>235</v>
      </c>
      <c r="G21" s="2" t="s">
        <v>242</v>
      </c>
      <c r="H21" s="2" t="s">
        <v>245</v>
      </c>
      <c r="I21" s="2">
        <v>9</v>
      </c>
      <c r="J21" s="2" t="s">
        <v>290</v>
      </c>
      <c r="K21" s="2" t="s">
        <v>308</v>
      </c>
      <c r="L21" s="2">
        <v>17</v>
      </c>
      <c r="M21" s="2" t="s">
        <v>262</v>
      </c>
      <c r="N21" s="2">
        <v>1</v>
      </c>
      <c r="O21" s="2" t="s">
        <v>311</v>
      </c>
      <c r="P21" s="2" t="s">
        <v>314</v>
      </c>
      <c r="Q21" s="2" t="s">
        <v>313</v>
      </c>
      <c r="R21" s="2" t="s">
        <v>311</v>
      </c>
      <c r="S21" s="2" t="s">
        <v>312</v>
      </c>
      <c r="T21" s="2" t="s">
        <v>311</v>
      </c>
      <c r="U21" s="2" t="s">
        <v>311</v>
      </c>
      <c r="V21" s="2" t="s">
        <v>316</v>
      </c>
      <c r="W21" s="2" t="s">
        <v>316</v>
      </c>
      <c r="X21" s="2" t="s">
        <v>319</v>
      </c>
      <c r="Y21" s="2" t="s">
        <v>315</v>
      </c>
      <c r="Z21" s="2" t="s">
        <v>311</v>
      </c>
      <c r="AA21" s="2" t="s">
        <v>322</v>
      </c>
      <c r="AB21" s="2" t="s">
        <v>324</v>
      </c>
      <c r="AC21" s="2" t="s">
        <v>405</v>
      </c>
      <c r="AD21" s="2" t="s">
        <v>505</v>
      </c>
    </row>
    <row r="22" spans="1:30" x14ac:dyDescent="0.3">
      <c r="A22" s="2" t="s">
        <v>30</v>
      </c>
      <c r="B22" s="2" t="s">
        <v>560</v>
      </c>
      <c r="C22" s="2" t="s">
        <v>867</v>
      </c>
      <c r="D22" s="2">
        <v>30</v>
      </c>
      <c r="E22" s="2" t="s">
        <v>232</v>
      </c>
      <c r="F22" s="2" t="s">
        <v>236</v>
      </c>
      <c r="G22" s="2" t="s">
        <v>242</v>
      </c>
      <c r="H22" s="2" t="s">
        <v>246</v>
      </c>
      <c r="I22" s="2">
        <v>15</v>
      </c>
      <c r="J22" s="2" t="s">
        <v>241</v>
      </c>
      <c r="K22" s="2" t="s">
        <v>308</v>
      </c>
      <c r="L22" s="2">
        <v>11</v>
      </c>
      <c r="M22" s="2" t="s">
        <v>255</v>
      </c>
      <c r="N22" s="2">
        <v>0</v>
      </c>
      <c r="O22" s="2" t="s">
        <v>312</v>
      </c>
      <c r="P22" s="2" t="s">
        <v>313</v>
      </c>
      <c r="Q22" s="2" t="s">
        <v>312</v>
      </c>
      <c r="R22" s="2" t="s">
        <v>313</v>
      </c>
      <c r="S22" s="2" t="s">
        <v>312</v>
      </c>
      <c r="T22" s="2" t="s">
        <v>314</v>
      </c>
      <c r="U22" s="2" t="s">
        <v>314</v>
      </c>
      <c r="V22" s="2" t="s">
        <v>316</v>
      </c>
      <c r="W22" s="2" t="s">
        <v>316</v>
      </c>
      <c r="X22" s="2" t="s">
        <v>320</v>
      </c>
      <c r="Y22" s="2" t="s">
        <v>316</v>
      </c>
      <c r="Z22" s="2" t="s">
        <v>311</v>
      </c>
      <c r="AA22" s="2" t="s">
        <v>316</v>
      </c>
      <c r="AB22" s="2" t="s">
        <v>324</v>
      </c>
      <c r="AC22" s="2" t="s">
        <v>1097</v>
      </c>
      <c r="AD22" s="2" t="s">
        <v>1105</v>
      </c>
    </row>
    <row r="23" spans="1:30" hidden="1" x14ac:dyDescent="0.3">
      <c r="A23" s="1">
        <v>45660.267592592587</v>
      </c>
      <c r="B23" s="2" t="s">
        <v>81</v>
      </c>
      <c r="C23" s="2" t="s">
        <v>904</v>
      </c>
      <c r="D23" s="2">
        <v>31</v>
      </c>
      <c r="E23" s="2" t="s">
        <v>231</v>
      </c>
      <c r="F23" s="2" t="s">
        <v>233</v>
      </c>
      <c r="G23" s="2" t="s">
        <v>238</v>
      </c>
      <c r="H23" s="2" t="s">
        <v>244</v>
      </c>
      <c r="I23" s="2">
        <v>10</v>
      </c>
      <c r="J23" s="2" t="s">
        <v>280</v>
      </c>
      <c r="K23" s="2" t="s">
        <v>309</v>
      </c>
      <c r="L23" s="2">
        <v>18</v>
      </c>
      <c r="M23" s="2" t="s">
        <v>255</v>
      </c>
      <c r="N23" s="2">
        <v>0</v>
      </c>
      <c r="O23" s="2" t="s">
        <v>313</v>
      </c>
      <c r="P23" s="2" t="s">
        <v>313</v>
      </c>
      <c r="Q23" s="2" t="s">
        <v>312</v>
      </c>
      <c r="R23" s="2" t="s">
        <v>314</v>
      </c>
      <c r="S23" s="2" t="s">
        <v>311</v>
      </c>
      <c r="T23" s="2" t="s">
        <v>314</v>
      </c>
      <c r="U23" s="2" t="s">
        <v>314</v>
      </c>
      <c r="V23" s="2" t="s">
        <v>316</v>
      </c>
      <c r="W23" s="2" t="s">
        <v>316</v>
      </c>
      <c r="X23" s="2" t="s">
        <v>319</v>
      </c>
      <c r="Y23" s="2" t="s">
        <v>316</v>
      </c>
      <c r="Z23" s="2" t="s">
        <v>311</v>
      </c>
      <c r="AA23" s="2" t="s">
        <v>322</v>
      </c>
      <c r="AB23" s="2" t="s">
        <v>323</v>
      </c>
      <c r="AC23" s="2" t="s">
        <v>377</v>
      </c>
      <c r="AD23" s="2" t="s">
        <v>477</v>
      </c>
    </row>
    <row r="24" spans="1:30" x14ac:dyDescent="0.3">
      <c r="A24" s="2" t="s">
        <v>30</v>
      </c>
      <c r="B24" s="2" t="s">
        <v>548</v>
      </c>
      <c r="C24" s="2" t="s">
        <v>884</v>
      </c>
      <c r="D24" s="2">
        <v>31</v>
      </c>
      <c r="E24" s="2" t="s">
        <v>232</v>
      </c>
      <c r="F24" s="2" t="s">
        <v>235</v>
      </c>
      <c r="G24" s="2" t="s">
        <v>243</v>
      </c>
      <c r="H24" s="2" t="s">
        <v>246</v>
      </c>
      <c r="I24" s="2">
        <v>5</v>
      </c>
      <c r="J24" s="2" t="s">
        <v>990</v>
      </c>
      <c r="K24" s="2" t="s">
        <v>309</v>
      </c>
      <c r="L24" s="2">
        <v>5</v>
      </c>
      <c r="M24" s="2" t="s">
        <v>262</v>
      </c>
      <c r="N24" s="2">
        <v>3</v>
      </c>
      <c r="O24" s="2" t="s">
        <v>313</v>
      </c>
      <c r="P24" s="2" t="s">
        <v>311</v>
      </c>
      <c r="Q24" s="2" t="s">
        <v>313</v>
      </c>
      <c r="R24" s="2" t="s">
        <v>312</v>
      </c>
      <c r="S24" s="2" t="s">
        <v>312</v>
      </c>
      <c r="T24" s="2" t="s">
        <v>312</v>
      </c>
      <c r="U24" s="2" t="s">
        <v>312</v>
      </c>
      <c r="V24" s="2" t="s">
        <v>316</v>
      </c>
      <c r="W24" s="2" t="s">
        <v>316</v>
      </c>
      <c r="X24" s="2" t="s">
        <v>319</v>
      </c>
      <c r="Y24" s="2" t="s">
        <v>316</v>
      </c>
      <c r="Z24" s="2" t="s">
        <v>311</v>
      </c>
      <c r="AA24" s="2" t="s">
        <v>321</v>
      </c>
      <c r="AB24" s="2" t="s">
        <v>325</v>
      </c>
      <c r="AC24" s="2" t="s">
        <v>1096</v>
      </c>
      <c r="AD24" s="2" t="s">
        <v>1105</v>
      </c>
    </row>
    <row r="25" spans="1:30" x14ac:dyDescent="0.3">
      <c r="A25" s="2" t="s">
        <v>30</v>
      </c>
      <c r="B25" s="2" t="s">
        <v>656</v>
      </c>
      <c r="C25" s="2" t="s">
        <v>697</v>
      </c>
      <c r="D25" s="2">
        <v>33</v>
      </c>
      <c r="E25" s="2" t="s">
        <v>232</v>
      </c>
      <c r="F25" s="2" t="s">
        <v>236</v>
      </c>
      <c r="G25" s="2" t="s">
        <v>241</v>
      </c>
      <c r="H25" s="2" t="s">
        <v>244</v>
      </c>
      <c r="I25" s="2">
        <v>6</v>
      </c>
      <c r="J25" s="2" t="s">
        <v>1078</v>
      </c>
      <c r="K25" s="2" t="s">
        <v>310</v>
      </c>
      <c r="L25" s="2">
        <v>11</v>
      </c>
      <c r="M25" s="2" t="s">
        <v>251</v>
      </c>
      <c r="N25" s="2">
        <v>0</v>
      </c>
      <c r="O25" s="2" t="s">
        <v>314</v>
      </c>
      <c r="P25" s="2" t="s">
        <v>311</v>
      </c>
      <c r="Q25" s="2" t="s">
        <v>313</v>
      </c>
      <c r="R25" s="2" t="s">
        <v>312</v>
      </c>
      <c r="S25" s="2" t="s">
        <v>314</v>
      </c>
      <c r="T25" s="2" t="s">
        <v>311</v>
      </c>
      <c r="U25" s="2" t="s">
        <v>311</v>
      </c>
      <c r="V25" s="2" t="s">
        <v>316</v>
      </c>
      <c r="W25" s="2" t="s">
        <v>316</v>
      </c>
      <c r="X25" s="2" t="s">
        <v>319</v>
      </c>
      <c r="Y25" s="2" t="s">
        <v>316</v>
      </c>
      <c r="Z25" s="2" t="s">
        <v>311</v>
      </c>
      <c r="AA25" s="2" t="s">
        <v>321</v>
      </c>
      <c r="AB25" s="2" t="s">
        <v>323</v>
      </c>
      <c r="AC25" s="2" t="s">
        <v>1099</v>
      </c>
      <c r="AD25" s="2" t="s">
        <v>1105</v>
      </c>
    </row>
    <row r="26" spans="1:30" x14ac:dyDescent="0.3">
      <c r="A26" s="2" t="s">
        <v>30</v>
      </c>
      <c r="B26" s="2" t="s">
        <v>528</v>
      </c>
      <c r="C26" s="2" t="s">
        <v>787</v>
      </c>
      <c r="D26" s="2">
        <v>37</v>
      </c>
      <c r="E26" s="2" t="s">
        <v>232</v>
      </c>
      <c r="F26" s="2" t="s">
        <v>237</v>
      </c>
      <c r="G26" s="2" t="s">
        <v>240</v>
      </c>
      <c r="H26" s="2" t="s">
        <v>246</v>
      </c>
      <c r="I26" s="2">
        <v>16</v>
      </c>
      <c r="J26" s="2" t="s">
        <v>279</v>
      </c>
      <c r="K26" s="2" t="s">
        <v>308</v>
      </c>
      <c r="L26" s="2">
        <v>13</v>
      </c>
      <c r="M26" s="2" t="s">
        <v>251</v>
      </c>
      <c r="N26" s="2">
        <v>1</v>
      </c>
      <c r="O26" s="2" t="s">
        <v>312</v>
      </c>
      <c r="P26" s="2" t="s">
        <v>314</v>
      </c>
      <c r="Q26" s="2" t="s">
        <v>311</v>
      </c>
      <c r="R26" s="2" t="s">
        <v>313</v>
      </c>
      <c r="S26" s="2" t="s">
        <v>314</v>
      </c>
      <c r="T26" s="2" t="s">
        <v>311</v>
      </c>
      <c r="U26" s="2" t="s">
        <v>311</v>
      </c>
      <c r="V26" s="2" t="s">
        <v>316</v>
      </c>
      <c r="W26" s="2" t="s">
        <v>316</v>
      </c>
      <c r="X26" s="2" t="s">
        <v>320</v>
      </c>
      <c r="Y26" s="2" t="s">
        <v>315</v>
      </c>
      <c r="Z26" s="2" t="s">
        <v>311</v>
      </c>
      <c r="AA26" s="2" t="s">
        <v>315</v>
      </c>
      <c r="AB26" s="2" t="s">
        <v>325</v>
      </c>
      <c r="AC26" s="2" t="s">
        <v>1101</v>
      </c>
      <c r="AD26" s="2" t="s">
        <v>1105</v>
      </c>
    </row>
    <row r="27" spans="1:30" x14ac:dyDescent="0.3">
      <c r="A27" s="2" t="s">
        <v>30</v>
      </c>
      <c r="B27" s="2" t="s">
        <v>558</v>
      </c>
      <c r="C27" s="2" t="s">
        <v>875</v>
      </c>
      <c r="D27" s="2">
        <v>38</v>
      </c>
      <c r="E27" s="2" t="s">
        <v>232</v>
      </c>
      <c r="F27" s="2" t="s">
        <v>235</v>
      </c>
      <c r="G27" s="2" t="s">
        <v>242</v>
      </c>
      <c r="H27" s="2" t="s">
        <v>245</v>
      </c>
      <c r="I27" s="2">
        <v>26</v>
      </c>
      <c r="J27" s="2" t="s">
        <v>971</v>
      </c>
      <c r="K27" s="2" t="s">
        <v>308</v>
      </c>
      <c r="L27" s="2">
        <v>11</v>
      </c>
      <c r="M27" s="2" t="s">
        <v>275</v>
      </c>
      <c r="N27" s="2">
        <v>3</v>
      </c>
      <c r="O27" s="2" t="s">
        <v>313</v>
      </c>
      <c r="P27" s="2" t="s">
        <v>314</v>
      </c>
      <c r="Q27" s="2" t="s">
        <v>313</v>
      </c>
      <c r="R27" s="2" t="s">
        <v>313</v>
      </c>
      <c r="S27" s="2" t="s">
        <v>313</v>
      </c>
      <c r="T27" s="2" t="s">
        <v>311</v>
      </c>
      <c r="U27" s="2" t="s">
        <v>311</v>
      </c>
      <c r="V27" s="2" t="s">
        <v>316</v>
      </c>
      <c r="W27" s="2" t="s">
        <v>316</v>
      </c>
      <c r="X27" s="2" t="s">
        <v>317</v>
      </c>
      <c r="Y27" s="2" t="s">
        <v>316</v>
      </c>
      <c r="Z27" s="2" t="s">
        <v>311</v>
      </c>
      <c r="AA27" s="2" t="s">
        <v>321</v>
      </c>
      <c r="AB27" s="2" t="s">
        <v>323</v>
      </c>
      <c r="AC27" s="2" t="s">
        <v>1096</v>
      </c>
      <c r="AD27" s="2" t="s">
        <v>1105</v>
      </c>
    </row>
    <row r="28" spans="1:30" x14ac:dyDescent="0.3">
      <c r="A28" s="2" t="s">
        <v>30</v>
      </c>
      <c r="B28" s="2" t="s">
        <v>538</v>
      </c>
      <c r="C28" s="2" t="s">
        <v>770</v>
      </c>
      <c r="D28" s="2">
        <v>39</v>
      </c>
      <c r="E28" s="2" t="s">
        <v>232</v>
      </c>
      <c r="F28" s="2" t="s">
        <v>235</v>
      </c>
      <c r="G28" s="2" t="s">
        <v>238</v>
      </c>
      <c r="H28" s="2" t="s">
        <v>244</v>
      </c>
      <c r="I28" s="2">
        <v>29</v>
      </c>
      <c r="J28" s="2" t="s">
        <v>957</v>
      </c>
      <c r="K28" s="2" t="s">
        <v>309</v>
      </c>
      <c r="L28" s="2">
        <v>18</v>
      </c>
      <c r="M28" s="2" t="s">
        <v>255</v>
      </c>
      <c r="N28" s="2">
        <v>1</v>
      </c>
      <c r="O28" s="2" t="s">
        <v>314</v>
      </c>
      <c r="P28" s="2" t="s">
        <v>312</v>
      </c>
      <c r="Q28" s="2" t="s">
        <v>312</v>
      </c>
      <c r="R28" s="2" t="s">
        <v>312</v>
      </c>
      <c r="S28" s="2" t="s">
        <v>314</v>
      </c>
      <c r="T28" s="2" t="s">
        <v>313</v>
      </c>
      <c r="U28" s="2" t="s">
        <v>313</v>
      </c>
      <c r="V28" s="2" t="s">
        <v>316</v>
      </c>
      <c r="W28" s="2" t="s">
        <v>316</v>
      </c>
      <c r="X28" s="2" t="s">
        <v>318</v>
      </c>
      <c r="Y28" s="2" t="s">
        <v>315</v>
      </c>
      <c r="Z28" s="2" t="s">
        <v>311</v>
      </c>
      <c r="AA28" s="2" t="s">
        <v>1095</v>
      </c>
      <c r="AB28" s="2" t="s">
        <v>323</v>
      </c>
      <c r="AC28" s="2" t="s">
        <v>1098</v>
      </c>
      <c r="AD28" s="2" t="s">
        <v>1105</v>
      </c>
    </row>
    <row r="29" spans="1:30" x14ac:dyDescent="0.3">
      <c r="A29" s="2" t="s">
        <v>30</v>
      </c>
      <c r="B29" s="2" t="s">
        <v>587</v>
      </c>
      <c r="C29" s="2" t="s">
        <v>161</v>
      </c>
      <c r="D29" s="2">
        <v>44</v>
      </c>
      <c r="E29" s="2" t="s">
        <v>232</v>
      </c>
      <c r="F29" s="2" t="s">
        <v>234</v>
      </c>
      <c r="G29" s="2" t="s">
        <v>242</v>
      </c>
      <c r="H29" s="2" t="s">
        <v>245</v>
      </c>
      <c r="I29" s="2">
        <v>19</v>
      </c>
      <c r="J29" s="2" t="s">
        <v>267</v>
      </c>
      <c r="K29" s="2" t="s">
        <v>308</v>
      </c>
      <c r="L29" s="2">
        <v>16</v>
      </c>
      <c r="M29" s="2" t="s">
        <v>262</v>
      </c>
      <c r="N29" s="2">
        <v>0</v>
      </c>
      <c r="O29" s="2" t="s">
        <v>311</v>
      </c>
      <c r="P29" s="2" t="s">
        <v>312</v>
      </c>
      <c r="Q29" s="2" t="s">
        <v>312</v>
      </c>
      <c r="R29" s="2" t="s">
        <v>312</v>
      </c>
      <c r="S29" s="2" t="s">
        <v>311</v>
      </c>
      <c r="T29" s="2" t="s">
        <v>314</v>
      </c>
      <c r="U29" s="2" t="s">
        <v>314</v>
      </c>
      <c r="V29" s="2" t="s">
        <v>316</v>
      </c>
      <c r="W29" s="2" t="s">
        <v>316</v>
      </c>
      <c r="X29" s="2" t="s">
        <v>317</v>
      </c>
      <c r="Y29" s="2" t="s">
        <v>316</v>
      </c>
      <c r="Z29" s="2" t="s">
        <v>311</v>
      </c>
      <c r="AA29" s="2" t="s">
        <v>321</v>
      </c>
      <c r="AB29" s="2" t="s">
        <v>323</v>
      </c>
      <c r="AC29" s="2" t="s">
        <v>1103</v>
      </c>
      <c r="AD29" s="2" t="s">
        <v>1105</v>
      </c>
    </row>
    <row r="30" spans="1:30" x14ac:dyDescent="0.3">
      <c r="A30" s="2" t="s">
        <v>30</v>
      </c>
      <c r="B30" s="2" t="s">
        <v>533</v>
      </c>
      <c r="C30" s="2" t="s">
        <v>921</v>
      </c>
      <c r="D30" s="2">
        <v>46</v>
      </c>
      <c r="E30" s="2" t="s">
        <v>232</v>
      </c>
      <c r="F30" s="2" t="s">
        <v>234</v>
      </c>
      <c r="G30" s="2" t="s">
        <v>241</v>
      </c>
      <c r="H30" s="2" t="s">
        <v>244</v>
      </c>
      <c r="I30" s="2">
        <v>10</v>
      </c>
      <c r="J30" s="2" t="s">
        <v>952</v>
      </c>
      <c r="K30" s="2" t="s">
        <v>308</v>
      </c>
      <c r="L30" s="2">
        <v>2</v>
      </c>
      <c r="M30" s="2" t="s">
        <v>249</v>
      </c>
      <c r="N30" s="2">
        <v>2</v>
      </c>
      <c r="O30" s="2" t="s">
        <v>311</v>
      </c>
      <c r="P30" s="2" t="s">
        <v>312</v>
      </c>
      <c r="Q30" s="2" t="s">
        <v>314</v>
      </c>
      <c r="R30" s="2" t="s">
        <v>312</v>
      </c>
      <c r="S30" s="2" t="s">
        <v>312</v>
      </c>
      <c r="T30" s="2" t="s">
        <v>314</v>
      </c>
      <c r="U30" s="2" t="s">
        <v>314</v>
      </c>
      <c r="V30" s="2" t="s">
        <v>316</v>
      </c>
      <c r="W30" s="2" t="s">
        <v>316</v>
      </c>
      <c r="X30" s="2" t="s">
        <v>319</v>
      </c>
      <c r="Y30" s="2" t="s">
        <v>316</v>
      </c>
      <c r="Z30" s="2" t="s">
        <v>311</v>
      </c>
      <c r="AA30" s="2" t="s">
        <v>321</v>
      </c>
      <c r="AB30" s="2" t="s">
        <v>325</v>
      </c>
      <c r="AC30" s="2" t="s">
        <v>1101</v>
      </c>
      <c r="AD30" s="2" t="s">
        <v>1105</v>
      </c>
    </row>
    <row r="31" spans="1:30" x14ac:dyDescent="0.3">
      <c r="A31" s="2" t="s">
        <v>30</v>
      </c>
      <c r="B31" s="2" t="s">
        <v>549</v>
      </c>
      <c r="C31" s="2" t="s">
        <v>928</v>
      </c>
      <c r="D31" s="2">
        <v>47</v>
      </c>
      <c r="E31" s="2" t="s">
        <v>232</v>
      </c>
      <c r="F31" s="2" t="s">
        <v>237</v>
      </c>
      <c r="G31" s="2" t="s">
        <v>241</v>
      </c>
      <c r="H31" s="2" t="s">
        <v>246</v>
      </c>
      <c r="I31" s="2">
        <v>10</v>
      </c>
      <c r="J31" s="2" t="s">
        <v>262</v>
      </c>
      <c r="K31" s="2" t="s">
        <v>310</v>
      </c>
      <c r="L31" s="2">
        <v>1</v>
      </c>
      <c r="M31" s="2" t="s">
        <v>243</v>
      </c>
      <c r="N31" s="2">
        <v>0</v>
      </c>
      <c r="O31" s="2" t="s">
        <v>314</v>
      </c>
      <c r="P31" s="2" t="s">
        <v>313</v>
      </c>
      <c r="Q31" s="2" t="s">
        <v>311</v>
      </c>
      <c r="R31" s="2" t="s">
        <v>311</v>
      </c>
      <c r="S31" s="2" t="s">
        <v>311</v>
      </c>
      <c r="T31" s="2" t="s">
        <v>314</v>
      </c>
      <c r="U31" s="2" t="s">
        <v>314</v>
      </c>
      <c r="V31" s="2" t="s">
        <v>316</v>
      </c>
      <c r="W31" s="2" t="s">
        <v>316</v>
      </c>
      <c r="X31" s="2" t="s">
        <v>317</v>
      </c>
      <c r="Y31" s="2" t="s">
        <v>315</v>
      </c>
      <c r="Z31" s="2" t="s">
        <v>311</v>
      </c>
      <c r="AA31" s="2" t="s">
        <v>316</v>
      </c>
      <c r="AB31" s="2" t="s">
        <v>324</v>
      </c>
      <c r="AC31" s="2" t="s">
        <v>1097</v>
      </c>
      <c r="AD31" s="2" t="s">
        <v>1105</v>
      </c>
    </row>
    <row r="32" spans="1:30" x14ac:dyDescent="0.3">
      <c r="A32" s="2" t="s">
        <v>30</v>
      </c>
      <c r="B32" s="2" t="s">
        <v>581</v>
      </c>
      <c r="C32" s="2" t="s">
        <v>864</v>
      </c>
      <c r="D32" s="2">
        <v>48</v>
      </c>
      <c r="E32" s="2" t="s">
        <v>232</v>
      </c>
      <c r="F32" s="2" t="s">
        <v>234</v>
      </c>
      <c r="G32" s="2" t="s">
        <v>239</v>
      </c>
      <c r="H32" s="2" t="s">
        <v>245</v>
      </c>
      <c r="I32" s="2">
        <v>8</v>
      </c>
      <c r="J32" s="2" t="s">
        <v>285</v>
      </c>
      <c r="K32" s="2" t="s">
        <v>308</v>
      </c>
      <c r="L32" s="2">
        <v>11</v>
      </c>
      <c r="M32" s="2" t="s">
        <v>241</v>
      </c>
      <c r="N32" s="2">
        <v>3</v>
      </c>
      <c r="O32" s="2" t="s">
        <v>314</v>
      </c>
      <c r="P32" s="2" t="s">
        <v>314</v>
      </c>
      <c r="Q32" s="2" t="s">
        <v>314</v>
      </c>
      <c r="R32" s="2" t="s">
        <v>312</v>
      </c>
      <c r="S32" s="2" t="s">
        <v>311</v>
      </c>
      <c r="T32" s="2" t="s">
        <v>313</v>
      </c>
      <c r="U32" s="2" t="s">
        <v>313</v>
      </c>
      <c r="V32" s="2" t="s">
        <v>316</v>
      </c>
      <c r="W32" s="2" t="s">
        <v>316</v>
      </c>
      <c r="X32" s="2" t="s">
        <v>317</v>
      </c>
      <c r="Y32" s="2" t="s">
        <v>316</v>
      </c>
      <c r="Z32" s="2" t="s">
        <v>311</v>
      </c>
      <c r="AA32" s="2" t="s">
        <v>321</v>
      </c>
      <c r="AB32" s="2" t="s">
        <v>323</v>
      </c>
      <c r="AC32" s="2" t="s">
        <v>1097</v>
      </c>
      <c r="AD32" s="2" t="s">
        <v>1105</v>
      </c>
    </row>
    <row r="33" spans="1:30" hidden="1" x14ac:dyDescent="0.3">
      <c r="A33" s="1">
        <v>45822.170810185176</v>
      </c>
      <c r="B33" s="2" t="s">
        <v>125</v>
      </c>
      <c r="C33" s="2" t="s">
        <v>721</v>
      </c>
      <c r="D33" s="2">
        <v>49</v>
      </c>
      <c r="E33" s="2" t="s">
        <v>231</v>
      </c>
      <c r="F33" s="2" t="s">
        <v>235</v>
      </c>
      <c r="G33" s="2" t="s">
        <v>241</v>
      </c>
      <c r="H33" s="2" t="s">
        <v>245</v>
      </c>
      <c r="I33" s="2">
        <v>26</v>
      </c>
      <c r="J33" s="2" t="s">
        <v>268</v>
      </c>
      <c r="K33" s="2" t="s">
        <v>310</v>
      </c>
      <c r="L33" s="2">
        <v>1</v>
      </c>
      <c r="M33" s="2" t="s">
        <v>255</v>
      </c>
      <c r="N33" s="2">
        <v>1</v>
      </c>
      <c r="O33" s="2" t="s">
        <v>311</v>
      </c>
      <c r="P33" s="2" t="s">
        <v>311</v>
      </c>
      <c r="Q33" s="2" t="s">
        <v>312</v>
      </c>
      <c r="R33" s="2" t="s">
        <v>313</v>
      </c>
      <c r="S33" s="2" t="s">
        <v>312</v>
      </c>
      <c r="T33" s="2" t="s">
        <v>311</v>
      </c>
      <c r="U33" s="2" t="s">
        <v>314</v>
      </c>
      <c r="V33" s="2" t="s">
        <v>316</v>
      </c>
      <c r="W33" s="2" t="s">
        <v>316</v>
      </c>
      <c r="X33" s="2" t="s">
        <v>319</v>
      </c>
      <c r="Y33" s="2" t="s">
        <v>315</v>
      </c>
      <c r="Z33" s="2" t="s">
        <v>311</v>
      </c>
      <c r="AA33" s="2" t="s">
        <v>322</v>
      </c>
      <c r="AB33" s="2" t="s">
        <v>325</v>
      </c>
      <c r="AC33" s="2" t="s">
        <v>421</v>
      </c>
      <c r="AD33" s="2" t="s">
        <v>521</v>
      </c>
    </row>
    <row r="34" spans="1:30" hidden="1" x14ac:dyDescent="0.3">
      <c r="A34" s="2" t="s">
        <v>30</v>
      </c>
      <c r="B34" s="2" t="s">
        <v>555</v>
      </c>
      <c r="C34" s="2" t="s">
        <v>907</v>
      </c>
      <c r="D34" s="2">
        <v>51</v>
      </c>
      <c r="E34" s="2" t="s">
        <v>231</v>
      </c>
      <c r="F34" s="2" t="s">
        <v>234</v>
      </c>
      <c r="G34" s="2" t="s">
        <v>239</v>
      </c>
      <c r="H34" s="2" t="s">
        <v>244</v>
      </c>
      <c r="I34" s="2">
        <v>19</v>
      </c>
      <c r="J34" s="2" t="s">
        <v>970</v>
      </c>
      <c r="K34" s="2" t="s">
        <v>309</v>
      </c>
      <c r="L34" s="2">
        <v>6</v>
      </c>
      <c r="M34" s="2" t="s">
        <v>255</v>
      </c>
      <c r="N34" s="2">
        <v>1</v>
      </c>
      <c r="O34" s="2" t="s">
        <v>311</v>
      </c>
      <c r="P34" s="2" t="s">
        <v>311</v>
      </c>
      <c r="Q34" s="2" t="s">
        <v>311</v>
      </c>
      <c r="R34" s="2" t="s">
        <v>314</v>
      </c>
      <c r="S34" s="2" t="s">
        <v>314</v>
      </c>
      <c r="T34" s="2" t="s">
        <v>311</v>
      </c>
      <c r="U34" s="2" t="s">
        <v>311</v>
      </c>
      <c r="V34" s="2" t="s">
        <v>316</v>
      </c>
      <c r="W34" s="2" t="s">
        <v>316</v>
      </c>
      <c r="X34" s="2" t="s">
        <v>318</v>
      </c>
      <c r="Y34" s="2" t="s">
        <v>316</v>
      </c>
      <c r="Z34" s="2" t="s">
        <v>311</v>
      </c>
      <c r="AA34" s="2" t="s">
        <v>316</v>
      </c>
      <c r="AB34" s="2" t="s">
        <v>324</v>
      </c>
      <c r="AC34" s="2" t="s">
        <v>1101</v>
      </c>
      <c r="AD34" s="2" t="s">
        <v>1105</v>
      </c>
    </row>
    <row r="35" spans="1:30" hidden="1" x14ac:dyDescent="0.3">
      <c r="A35" s="2" t="s">
        <v>30</v>
      </c>
      <c r="B35" s="2" t="s">
        <v>595</v>
      </c>
      <c r="C35" s="2" t="s">
        <v>758</v>
      </c>
      <c r="D35" s="2">
        <v>51</v>
      </c>
      <c r="E35" s="2" t="s">
        <v>231</v>
      </c>
      <c r="F35" s="2" t="s">
        <v>234</v>
      </c>
      <c r="G35" s="2" t="s">
        <v>241</v>
      </c>
      <c r="H35" s="2" t="s">
        <v>245</v>
      </c>
      <c r="I35" s="2">
        <v>2</v>
      </c>
      <c r="J35" s="2" t="s">
        <v>275</v>
      </c>
      <c r="K35" s="2" t="s">
        <v>309</v>
      </c>
      <c r="L35" s="2">
        <v>0</v>
      </c>
      <c r="M35" s="2" t="s">
        <v>251</v>
      </c>
      <c r="N35" s="2">
        <v>3</v>
      </c>
      <c r="O35" s="2" t="s">
        <v>314</v>
      </c>
      <c r="P35" s="2" t="s">
        <v>313</v>
      </c>
      <c r="Q35" s="2" t="s">
        <v>312</v>
      </c>
      <c r="R35" s="2" t="s">
        <v>311</v>
      </c>
      <c r="S35" s="2" t="s">
        <v>311</v>
      </c>
      <c r="T35" s="2" t="s">
        <v>312</v>
      </c>
      <c r="U35" s="2" t="s">
        <v>312</v>
      </c>
      <c r="V35" s="2" t="s">
        <v>316</v>
      </c>
      <c r="W35" s="2" t="s">
        <v>316</v>
      </c>
      <c r="X35" s="2" t="s">
        <v>317</v>
      </c>
      <c r="Y35" s="2" t="s">
        <v>316</v>
      </c>
      <c r="Z35" s="2" t="s">
        <v>311</v>
      </c>
      <c r="AA35" s="2" t="s">
        <v>1095</v>
      </c>
      <c r="AB35" s="2" t="s">
        <v>326</v>
      </c>
      <c r="AC35" s="2" t="s">
        <v>1103</v>
      </c>
      <c r="AD35" s="2" t="s">
        <v>1105</v>
      </c>
    </row>
    <row r="36" spans="1:30" hidden="1" x14ac:dyDescent="0.3">
      <c r="A36" s="2" t="s">
        <v>30</v>
      </c>
      <c r="B36" s="2" t="s">
        <v>589</v>
      </c>
      <c r="C36" s="2" t="s">
        <v>224</v>
      </c>
      <c r="D36" s="2">
        <v>53</v>
      </c>
      <c r="E36" s="2" t="s">
        <v>231</v>
      </c>
      <c r="F36" s="2" t="s">
        <v>234</v>
      </c>
      <c r="G36" s="2" t="s">
        <v>239</v>
      </c>
      <c r="H36" s="2" t="s">
        <v>244</v>
      </c>
      <c r="I36" s="2">
        <v>25</v>
      </c>
      <c r="J36" s="2" t="s">
        <v>265</v>
      </c>
      <c r="K36" s="2" t="s">
        <v>309</v>
      </c>
      <c r="L36" s="2">
        <v>14</v>
      </c>
      <c r="M36" s="2" t="s">
        <v>255</v>
      </c>
      <c r="N36" s="2">
        <v>0</v>
      </c>
      <c r="O36" s="2" t="s">
        <v>312</v>
      </c>
      <c r="P36" s="2" t="s">
        <v>314</v>
      </c>
      <c r="Q36" s="2" t="s">
        <v>312</v>
      </c>
      <c r="R36" s="2" t="s">
        <v>312</v>
      </c>
      <c r="S36" s="2" t="s">
        <v>313</v>
      </c>
      <c r="T36" s="2" t="s">
        <v>314</v>
      </c>
      <c r="U36" s="2" t="s">
        <v>314</v>
      </c>
      <c r="V36" s="2" t="s">
        <v>316</v>
      </c>
      <c r="W36" s="2" t="s">
        <v>316</v>
      </c>
      <c r="X36" s="2" t="s">
        <v>320</v>
      </c>
      <c r="Y36" s="2" t="s">
        <v>315</v>
      </c>
      <c r="Z36" s="2" t="s">
        <v>311</v>
      </c>
      <c r="AA36" s="2" t="s">
        <v>316</v>
      </c>
      <c r="AB36" s="2" t="s">
        <v>325</v>
      </c>
      <c r="AC36" s="2" t="s">
        <v>1096</v>
      </c>
      <c r="AD36" s="2" t="s">
        <v>1105</v>
      </c>
    </row>
    <row r="37" spans="1:30" x14ac:dyDescent="0.3">
      <c r="A37" s="2" t="s">
        <v>30</v>
      </c>
      <c r="B37" s="2" t="s">
        <v>545</v>
      </c>
      <c r="C37" s="2" t="s">
        <v>806</v>
      </c>
      <c r="D37" s="2">
        <v>55</v>
      </c>
      <c r="E37" s="2" t="s">
        <v>232</v>
      </c>
      <c r="F37" s="2" t="s">
        <v>233</v>
      </c>
      <c r="G37" s="2" t="s">
        <v>240</v>
      </c>
      <c r="H37" s="2" t="s">
        <v>245</v>
      </c>
      <c r="I37" s="2">
        <v>17</v>
      </c>
      <c r="J37" s="2" t="s">
        <v>961</v>
      </c>
      <c r="K37" s="2" t="s">
        <v>308</v>
      </c>
      <c r="L37" s="2">
        <v>5</v>
      </c>
      <c r="M37" s="2" t="s">
        <v>249</v>
      </c>
      <c r="N37" s="2">
        <v>0</v>
      </c>
      <c r="O37" s="2" t="s">
        <v>312</v>
      </c>
      <c r="P37" s="2" t="s">
        <v>313</v>
      </c>
      <c r="Q37" s="2" t="s">
        <v>311</v>
      </c>
      <c r="R37" s="2" t="s">
        <v>314</v>
      </c>
      <c r="S37" s="2" t="s">
        <v>311</v>
      </c>
      <c r="T37" s="2" t="s">
        <v>314</v>
      </c>
      <c r="U37" s="2" t="s">
        <v>314</v>
      </c>
      <c r="V37" s="2" t="s">
        <v>316</v>
      </c>
      <c r="W37" s="2" t="s">
        <v>316</v>
      </c>
      <c r="X37" s="2" t="s">
        <v>317</v>
      </c>
      <c r="Y37" s="2" t="s">
        <v>315</v>
      </c>
      <c r="Z37" s="2" t="s">
        <v>311</v>
      </c>
      <c r="AA37" s="2" t="s">
        <v>1095</v>
      </c>
      <c r="AB37" s="2" t="s">
        <v>324</v>
      </c>
      <c r="AC37" s="2" t="s">
        <v>1101</v>
      </c>
      <c r="AD37" s="2" t="s">
        <v>1105</v>
      </c>
    </row>
    <row r="38" spans="1:30" x14ac:dyDescent="0.3">
      <c r="A38" s="2" t="s">
        <v>30</v>
      </c>
      <c r="B38" s="2" t="s">
        <v>586</v>
      </c>
      <c r="C38" s="2" t="s">
        <v>693</v>
      </c>
      <c r="D38" s="2">
        <v>55</v>
      </c>
      <c r="E38" s="2" t="s">
        <v>232</v>
      </c>
      <c r="F38" s="2" t="s">
        <v>236</v>
      </c>
      <c r="G38" s="2" t="s">
        <v>243</v>
      </c>
      <c r="H38" s="2" t="s">
        <v>246</v>
      </c>
      <c r="I38" s="2">
        <v>7</v>
      </c>
      <c r="J38" s="2" t="s">
        <v>241</v>
      </c>
      <c r="K38" s="2" t="s">
        <v>309</v>
      </c>
      <c r="L38" s="2">
        <v>10</v>
      </c>
      <c r="M38" s="2" t="s">
        <v>275</v>
      </c>
      <c r="N38" s="2">
        <v>2</v>
      </c>
      <c r="O38" s="2" t="s">
        <v>313</v>
      </c>
      <c r="P38" s="2" t="s">
        <v>311</v>
      </c>
      <c r="Q38" s="2" t="s">
        <v>314</v>
      </c>
      <c r="R38" s="2" t="s">
        <v>313</v>
      </c>
      <c r="S38" s="2" t="s">
        <v>313</v>
      </c>
      <c r="T38" s="2" t="s">
        <v>311</v>
      </c>
      <c r="U38" s="2" t="s">
        <v>311</v>
      </c>
      <c r="V38" s="2" t="s">
        <v>316</v>
      </c>
      <c r="W38" s="2" t="s">
        <v>316</v>
      </c>
      <c r="X38" s="2" t="s">
        <v>320</v>
      </c>
      <c r="Y38" s="2" t="s">
        <v>316</v>
      </c>
      <c r="Z38" s="2" t="s">
        <v>311</v>
      </c>
      <c r="AA38" s="2" t="s">
        <v>315</v>
      </c>
      <c r="AB38" s="2" t="s">
        <v>324</v>
      </c>
      <c r="AC38" s="2" t="s">
        <v>1100</v>
      </c>
      <c r="AD38" s="2" t="s">
        <v>1105</v>
      </c>
    </row>
    <row r="39" spans="1:30" x14ac:dyDescent="0.3">
      <c r="A39" s="2" t="s">
        <v>30</v>
      </c>
      <c r="B39" s="2" t="s">
        <v>559</v>
      </c>
      <c r="C39" s="2" t="s">
        <v>827</v>
      </c>
      <c r="D39" s="2">
        <v>55</v>
      </c>
      <c r="E39" s="2" t="s">
        <v>232</v>
      </c>
      <c r="F39" s="2" t="s">
        <v>235</v>
      </c>
      <c r="G39" s="2" t="s">
        <v>241</v>
      </c>
      <c r="H39" s="2" t="s">
        <v>244</v>
      </c>
      <c r="I39" s="2">
        <v>4</v>
      </c>
      <c r="J39" s="2" t="s">
        <v>262</v>
      </c>
      <c r="K39" s="2" t="s">
        <v>308</v>
      </c>
      <c r="L39" s="2">
        <v>5</v>
      </c>
      <c r="M39" s="2" t="s">
        <v>249</v>
      </c>
      <c r="N39" s="2">
        <v>1</v>
      </c>
      <c r="O39" s="2" t="s">
        <v>314</v>
      </c>
      <c r="P39" s="2" t="s">
        <v>312</v>
      </c>
      <c r="Q39" s="2" t="s">
        <v>312</v>
      </c>
      <c r="R39" s="2" t="s">
        <v>313</v>
      </c>
      <c r="S39" s="2" t="s">
        <v>311</v>
      </c>
      <c r="T39" s="2" t="s">
        <v>314</v>
      </c>
      <c r="U39" s="2" t="s">
        <v>314</v>
      </c>
      <c r="V39" s="2" t="s">
        <v>316</v>
      </c>
      <c r="W39" s="2" t="s">
        <v>316</v>
      </c>
      <c r="X39" s="2" t="s">
        <v>320</v>
      </c>
      <c r="Y39" s="2" t="s">
        <v>315</v>
      </c>
      <c r="Z39" s="2" t="s">
        <v>311</v>
      </c>
      <c r="AA39" s="2" t="s">
        <v>1095</v>
      </c>
      <c r="AB39" s="2" t="s">
        <v>323</v>
      </c>
      <c r="AC39" s="2" t="s">
        <v>1096</v>
      </c>
      <c r="AD39" s="2" t="s">
        <v>1105</v>
      </c>
    </row>
    <row r="40" spans="1:30" hidden="1" x14ac:dyDescent="0.3">
      <c r="A40" s="2" t="s">
        <v>30</v>
      </c>
      <c r="B40" s="2" t="s">
        <v>556</v>
      </c>
      <c r="C40" s="2" t="s">
        <v>179</v>
      </c>
      <c r="D40" s="2">
        <v>56</v>
      </c>
      <c r="E40" s="2" t="s">
        <v>231</v>
      </c>
      <c r="F40" s="2" t="s">
        <v>236</v>
      </c>
      <c r="G40" s="2" t="s">
        <v>242</v>
      </c>
      <c r="H40" s="2" t="s">
        <v>246</v>
      </c>
      <c r="I40" s="2">
        <v>19</v>
      </c>
      <c r="J40" s="2" t="s">
        <v>255</v>
      </c>
      <c r="K40" s="2" t="s">
        <v>308</v>
      </c>
      <c r="L40" s="2">
        <v>12</v>
      </c>
      <c r="M40" s="2" t="s">
        <v>249</v>
      </c>
      <c r="N40" s="2">
        <v>2</v>
      </c>
      <c r="O40" s="2" t="s">
        <v>314</v>
      </c>
      <c r="P40" s="2" t="s">
        <v>311</v>
      </c>
      <c r="Q40" s="2" t="s">
        <v>313</v>
      </c>
      <c r="R40" s="2" t="s">
        <v>312</v>
      </c>
      <c r="S40" s="2" t="s">
        <v>313</v>
      </c>
      <c r="T40" s="2" t="s">
        <v>314</v>
      </c>
      <c r="U40" s="2" t="s">
        <v>314</v>
      </c>
      <c r="V40" s="2" t="s">
        <v>316</v>
      </c>
      <c r="W40" s="2" t="s">
        <v>316</v>
      </c>
      <c r="X40" s="2" t="s">
        <v>319</v>
      </c>
      <c r="Y40" s="2" t="s">
        <v>316</v>
      </c>
      <c r="Z40" s="2" t="s">
        <v>311</v>
      </c>
      <c r="AA40" s="2" t="s">
        <v>315</v>
      </c>
      <c r="AB40" s="2" t="s">
        <v>326</v>
      </c>
      <c r="AC40" s="2" t="s">
        <v>1097</v>
      </c>
      <c r="AD40" s="2" t="s">
        <v>1105</v>
      </c>
    </row>
    <row r="41" spans="1:30" hidden="1" x14ac:dyDescent="0.3">
      <c r="A41" s="2" t="s">
        <v>30</v>
      </c>
      <c r="B41" s="2" t="s">
        <v>571</v>
      </c>
      <c r="C41" s="2" t="s">
        <v>1112</v>
      </c>
      <c r="D41" s="2">
        <v>56</v>
      </c>
      <c r="E41" s="2" t="s">
        <v>231</v>
      </c>
      <c r="F41" s="2" t="s">
        <v>237</v>
      </c>
      <c r="G41" s="2" t="s">
        <v>242</v>
      </c>
      <c r="H41" s="2" t="s">
        <v>245</v>
      </c>
      <c r="I41" s="2">
        <v>22</v>
      </c>
      <c r="J41" s="2" t="s">
        <v>249</v>
      </c>
      <c r="K41" s="2" t="s">
        <v>309</v>
      </c>
      <c r="L41" s="2">
        <v>14</v>
      </c>
      <c r="M41" s="2" t="s">
        <v>275</v>
      </c>
      <c r="N41" s="2">
        <v>0</v>
      </c>
      <c r="O41" s="2" t="s">
        <v>311</v>
      </c>
      <c r="P41" s="2" t="s">
        <v>312</v>
      </c>
      <c r="Q41" s="2" t="s">
        <v>314</v>
      </c>
      <c r="R41" s="2" t="s">
        <v>314</v>
      </c>
      <c r="S41" s="2" t="s">
        <v>313</v>
      </c>
      <c r="T41" s="2" t="s">
        <v>313</v>
      </c>
      <c r="U41" s="2" t="s">
        <v>313</v>
      </c>
      <c r="V41" s="2" t="s">
        <v>316</v>
      </c>
      <c r="W41" s="2" t="s">
        <v>316</v>
      </c>
      <c r="X41" s="2" t="s">
        <v>320</v>
      </c>
      <c r="Y41" s="2" t="s">
        <v>316</v>
      </c>
      <c r="Z41" s="2" t="s">
        <v>311</v>
      </c>
      <c r="AA41" s="2" t="s">
        <v>316</v>
      </c>
      <c r="AB41" s="2" t="s">
        <v>323</v>
      </c>
      <c r="AC41" s="2" t="s">
        <v>1102</v>
      </c>
      <c r="AD41" s="2" t="s">
        <v>1105</v>
      </c>
    </row>
    <row r="42" spans="1:30" hidden="1" x14ac:dyDescent="0.3">
      <c r="A42" s="1">
        <v>45658.756412037037</v>
      </c>
      <c r="B42" s="2" t="s">
        <v>120</v>
      </c>
      <c r="C42" s="2" t="s">
        <v>910</v>
      </c>
      <c r="D42" s="2">
        <v>57</v>
      </c>
      <c r="E42" s="2" t="s">
        <v>231</v>
      </c>
      <c r="F42" s="2" t="s">
        <v>233</v>
      </c>
      <c r="G42" s="2" t="s">
        <v>242</v>
      </c>
      <c r="H42" s="2" t="s">
        <v>244</v>
      </c>
      <c r="I42" s="2">
        <v>28</v>
      </c>
      <c r="J42" s="2" t="s">
        <v>255</v>
      </c>
      <c r="K42" s="2" t="s">
        <v>308</v>
      </c>
      <c r="L42" s="2">
        <v>10</v>
      </c>
      <c r="M42" s="2" t="s">
        <v>275</v>
      </c>
      <c r="N42" s="2">
        <v>0</v>
      </c>
      <c r="O42" s="2" t="s">
        <v>313</v>
      </c>
      <c r="P42" s="2" t="s">
        <v>311</v>
      </c>
      <c r="Q42" s="2" t="s">
        <v>313</v>
      </c>
      <c r="R42" s="2" t="s">
        <v>314</v>
      </c>
      <c r="S42" s="2" t="s">
        <v>314</v>
      </c>
      <c r="T42" s="2" t="s">
        <v>312</v>
      </c>
      <c r="U42" s="2" t="s">
        <v>313</v>
      </c>
      <c r="V42" s="2" t="s">
        <v>316</v>
      </c>
      <c r="W42" s="2" t="s">
        <v>316</v>
      </c>
      <c r="X42" s="2" t="s">
        <v>318</v>
      </c>
      <c r="Y42" s="2" t="s">
        <v>316</v>
      </c>
      <c r="Z42" s="2" t="s">
        <v>311</v>
      </c>
      <c r="AA42" s="2" t="s">
        <v>316</v>
      </c>
      <c r="AB42" s="2" t="s">
        <v>326</v>
      </c>
      <c r="AC42" s="2" t="s">
        <v>416</v>
      </c>
      <c r="AD42" s="2" t="s">
        <v>516</v>
      </c>
    </row>
    <row r="43" spans="1:30" hidden="1" x14ac:dyDescent="0.3">
      <c r="A43" s="2" t="s">
        <v>30</v>
      </c>
      <c r="B43" s="2" t="s">
        <v>565</v>
      </c>
      <c r="C43" s="2" t="s">
        <v>753</v>
      </c>
      <c r="D43" s="2">
        <v>60</v>
      </c>
      <c r="E43" s="2" t="s">
        <v>231</v>
      </c>
      <c r="F43" s="2" t="s">
        <v>237</v>
      </c>
      <c r="G43" s="2" t="s">
        <v>240</v>
      </c>
      <c r="H43" s="2" t="s">
        <v>245</v>
      </c>
      <c r="I43" s="2">
        <v>30</v>
      </c>
      <c r="J43" s="2" t="s">
        <v>998</v>
      </c>
      <c r="K43" s="2" t="s">
        <v>308</v>
      </c>
      <c r="L43" s="2">
        <v>6</v>
      </c>
      <c r="M43" s="2" t="s">
        <v>249</v>
      </c>
      <c r="N43" s="2">
        <v>3</v>
      </c>
      <c r="O43" s="2" t="s">
        <v>311</v>
      </c>
      <c r="P43" s="2" t="s">
        <v>312</v>
      </c>
      <c r="Q43" s="2" t="s">
        <v>313</v>
      </c>
      <c r="R43" s="2" t="s">
        <v>311</v>
      </c>
      <c r="S43" s="2" t="s">
        <v>313</v>
      </c>
      <c r="T43" s="2" t="s">
        <v>313</v>
      </c>
      <c r="U43" s="2" t="s">
        <v>313</v>
      </c>
      <c r="V43" s="2" t="s">
        <v>316</v>
      </c>
      <c r="W43" s="2" t="s">
        <v>316</v>
      </c>
      <c r="X43" s="2" t="s">
        <v>318</v>
      </c>
      <c r="Y43" s="2" t="s">
        <v>316</v>
      </c>
      <c r="Z43" s="2" t="s">
        <v>311</v>
      </c>
      <c r="AA43" s="2" t="s">
        <v>315</v>
      </c>
      <c r="AB43" s="2" t="s">
        <v>324</v>
      </c>
      <c r="AC43" s="2" t="s">
        <v>1102</v>
      </c>
      <c r="AD43" s="2" t="s">
        <v>1105</v>
      </c>
    </row>
    <row r="44" spans="1:30" x14ac:dyDescent="0.3">
      <c r="A44" s="2" t="s">
        <v>30</v>
      </c>
      <c r="B44" s="2" t="s">
        <v>619</v>
      </c>
      <c r="C44" s="2" t="s">
        <v>687</v>
      </c>
      <c r="D44" s="2">
        <v>25</v>
      </c>
      <c r="E44" s="2" t="s">
        <v>232</v>
      </c>
      <c r="F44" s="2" t="s">
        <v>235</v>
      </c>
      <c r="G44" s="2" t="s">
        <v>242</v>
      </c>
      <c r="H44" s="2" t="s">
        <v>246</v>
      </c>
      <c r="I44" s="2">
        <v>25</v>
      </c>
      <c r="J44" s="2" t="s">
        <v>1028</v>
      </c>
      <c r="K44" s="2" t="s">
        <v>309</v>
      </c>
      <c r="L44" s="2">
        <v>14</v>
      </c>
      <c r="M44" s="2" t="s">
        <v>275</v>
      </c>
      <c r="N44" s="2">
        <v>1</v>
      </c>
      <c r="O44" s="2" t="s">
        <v>312</v>
      </c>
      <c r="P44" s="2" t="s">
        <v>311</v>
      </c>
      <c r="Q44" s="2" t="s">
        <v>311</v>
      </c>
      <c r="R44" s="2" t="s">
        <v>314</v>
      </c>
      <c r="S44" s="2" t="s">
        <v>313</v>
      </c>
      <c r="T44" s="2" t="s">
        <v>313</v>
      </c>
      <c r="U44" s="2" t="s">
        <v>313</v>
      </c>
      <c r="V44" s="2" t="s">
        <v>316</v>
      </c>
      <c r="W44" s="2" t="s">
        <v>316</v>
      </c>
      <c r="X44" s="2" t="s">
        <v>318</v>
      </c>
      <c r="Y44" s="2" t="s">
        <v>316</v>
      </c>
      <c r="Z44" s="2" t="s">
        <v>312</v>
      </c>
      <c r="AA44" s="2" t="s">
        <v>316</v>
      </c>
      <c r="AB44" s="2" t="s">
        <v>326</v>
      </c>
      <c r="AC44" s="2" t="s">
        <v>1101</v>
      </c>
      <c r="AD44" s="2" t="s">
        <v>1105</v>
      </c>
    </row>
    <row r="45" spans="1:30" x14ac:dyDescent="0.3">
      <c r="A45" s="1">
        <v>45795.784108796302</v>
      </c>
      <c r="B45" s="2" t="s">
        <v>66</v>
      </c>
      <c r="C45" s="2" t="s">
        <v>802</v>
      </c>
      <c r="D45" s="2">
        <v>27</v>
      </c>
      <c r="E45" s="2" t="s">
        <v>232</v>
      </c>
      <c r="F45" s="2" t="s">
        <v>236</v>
      </c>
      <c r="G45" s="2" t="s">
        <v>238</v>
      </c>
      <c r="H45" s="2" t="s">
        <v>246</v>
      </c>
      <c r="I45" s="2">
        <v>19</v>
      </c>
      <c r="J45" s="2" t="s">
        <v>249</v>
      </c>
      <c r="K45" s="2" t="s">
        <v>308</v>
      </c>
      <c r="L45" s="2">
        <v>13</v>
      </c>
      <c r="M45" s="2" t="s">
        <v>241</v>
      </c>
      <c r="N45" s="2">
        <v>3</v>
      </c>
      <c r="O45" s="2" t="s">
        <v>314</v>
      </c>
      <c r="P45" s="2" t="s">
        <v>312</v>
      </c>
      <c r="Q45" s="2" t="s">
        <v>313</v>
      </c>
      <c r="R45" s="2" t="s">
        <v>311</v>
      </c>
      <c r="S45" s="2" t="s">
        <v>311</v>
      </c>
      <c r="T45" s="2" t="s">
        <v>313</v>
      </c>
      <c r="U45" s="2" t="s">
        <v>311</v>
      </c>
      <c r="V45" s="2" t="s">
        <v>316</v>
      </c>
      <c r="W45" s="2" t="s">
        <v>316</v>
      </c>
      <c r="X45" s="2" t="s">
        <v>317</v>
      </c>
      <c r="Y45" s="2" t="s">
        <v>316</v>
      </c>
      <c r="Z45" s="2" t="s">
        <v>312</v>
      </c>
      <c r="AA45" s="2" t="s">
        <v>321</v>
      </c>
      <c r="AB45" s="2" t="s">
        <v>323</v>
      </c>
      <c r="AC45" s="2" t="s">
        <v>362</v>
      </c>
      <c r="AD45" s="2" t="s">
        <v>462</v>
      </c>
    </row>
    <row r="46" spans="1:30" x14ac:dyDescent="0.3">
      <c r="A46" s="2" t="s">
        <v>30</v>
      </c>
      <c r="B46" s="2" t="s">
        <v>622</v>
      </c>
      <c r="C46" s="2" t="s">
        <v>688</v>
      </c>
      <c r="D46" s="2">
        <v>27</v>
      </c>
      <c r="E46" s="2" t="s">
        <v>232</v>
      </c>
      <c r="F46" s="2" t="s">
        <v>234</v>
      </c>
      <c r="G46" s="2" t="s">
        <v>242</v>
      </c>
      <c r="H46" s="2" t="s">
        <v>245</v>
      </c>
      <c r="I46" s="2">
        <v>7</v>
      </c>
      <c r="J46" s="2" t="s">
        <v>249</v>
      </c>
      <c r="K46" s="2" t="s">
        <v>308</v>
      </c>
      <c r="L46" s="2">
        <v>12</v>
      </c>
      <c r="M46" s="2" t="s">
        <v>241</v>
      </c>
      <c r="N46" s="2">
        <v>2</v>
      </c>
      <c r="O46" s="2" t="s">
        <v>311</v>
      </c>
      <c r="P46" s="2" t="s">
        <v>311</v>
      </c>
      <c r="Q46" s="2" t="s">
        <v>312</v>
      </c>
      <c r="R46" s="2" t="s">
        <v>313</v>
      </c>
      <c r="S46" s="2" t="s">
        <v>312</v>
      </c>
      <c r="T46" s="2" t="s">
        <v>314</v>
      </c>
      <c r="U46" s="2" t="s">
        <v>314</v>
      </c>
      <c r="V46" s="2" t="s">
        <v>316</v>
      </c>
      <c r="W46" s="2" t="s">
        <v>316</v>
      </c>
      <c r="X46" s="2" t="s">
        <v>318</v>
      </c>
      <c r="Y46" s="2" t="s">
        <v>315</v>
      </c>
      <c r="Z46" s="2" t="s">
        <v>312</v>
      </c>
      <c r="AA46" s="2" t="s">
        <v>316</v>
      </c>
      <c r="AB46" s="2" t="s">
        <v>326</v>
      </c>
      <c r="AC46" s="2" t="s">
        <v>1097</v>
      </c>
      <c r="AD46" s="2" t="s">
        <v>1105</v>
      </c>
    </row>
    <row r="47" spans="1:30" hidden="1" x14ac:dyDescent="0.3">
      <c r="A47" s="2" t="s">
        <v>30</v>
      </c>
      <c r="B47" s="2" t="s">
        <v>549</v>
      </c>
      <c r="C47" s="2" t="s">
        <v>784</v>
      </c>
      <c r="D47" s="2">
        <v>28</v>
      </c>
      <c r="E47" s="2" t="s">
        <v>231</v>
      </c>
      <c r="F47" s="2" t="s">
        <v>236</v>
      </c>
      <c r="G47" s="2" t="s">
        <v>243</v>
      </c>
      <c r="H47" s="2" t="s">
        <v>244</v>
      </c>
      <c r="I47" s="2">
        <v>16</v>
      </c>
      <c r="J47" s="2" t="s">
        <v>1042</v>
      </c>
      <c r="K47" s="2" t="s">
        <v>310</v>
      </c>
      <c r="L47" s="2">
        <v>5</v>
      </c>
      <c r="M47" s="2" t="s">
        <v>251</v>
      </c>
      <c r="N47" s="2">
        <v>0</v>
      </c>
      <c r="O47" s="2" t="s">
        <v>312</v>
      </c>
      <c r="P47" s="2" t="s">
        <v>311</v>
      </c>
      <c r="Q47" s="2" t="s">
        <v>313</v>
      </c>
      <c r="R47" s="2" t="s">
        <v>314</v>
      </c>
      <c r="S47" s="2" t="s">
        <v>311</v>
      </c>
      <c r="T47" s="2" t="s">
        <v>312</v>
      </c>
      <c r="U47" s="2" t="s">
        <v>312</v>
      </c>
      <c r="V47" s="2" t="s">
        <v>316</v>
      </c>
      <c r="W47" s="2" t="s">
        <v>316</v>
      </c>
      <c r="X47" s="2" t="s">
        <v>319</v>
      </c>
      <c r="Y47" s="2" t="s">
        <v>316</v>
      </c>
      <c r="Z47" s="2" t="s">
        <v>312</v>
      </c>
      <c r="AA47" s="2" t="s">
        <v>321</v>
      </c>
      <c r="AB47" s="2" t="s">
        <v>324</v>
      </c>
      <c r="AC47" s="2" t="s">
        <v>1096</v>
      </c>
      <c r="AD47" s="2" t="s">
        <v>1105</v>
      </c>
    </row>
    <row r="48" spans="1:30" hidden="1" x14ac:dyDescent="0.3">
      <c r="A48" s="2" t="s">
        <v>30</v>
      </c>
      <c r="B48" s="2" t="s">
        <v>612</v>
      </c>
      <c r="C48" s="2" t="s">
        <v>814</v>
      </c>
      <c r="D48" s="2">
        <v>30</v>
      </c>
      <c r="E48" s="2" t="s">
        <v>231</v>
      </c>
      <c r="F48" s="2" t="s">
        <v>234</v>
      </c>
      <c r="G48" s="2" t="s">
        <v>238</v>
      </c>
      <c r="H48" s="2" t="s">
        <v>246</v>
      </c>
      <c r="I48" s="2">
        <v>11</v>
      </c>
      <c r="J48" s="2" t="s">
        <v>1074</v>
      </c>
      <c r="K48" s="2" t="s">
        <v>310</v>
      </c>
      <c r="L48" s="2">
        <v>6</v>
      </c>
      <c r="M48" s="2" t="s">
        <v>255</v>
      </c>
      <c r="N48" s="2">
        <v>2</v>
      </c>
      <c r="O48" s="2" t="s">
        <v>312</v>
      </c>
      <c r="P48" s="2" t="s">
        <v>311</v>
      </c>
      <c r="Q48" s="2" t="s">
        <v>313</v>
      </c>
      <c r="R48" s="2" t="s">
        <v>312</v>
      </c>
      <c r="S48" s="2" t="s">
        <v>314</v>
      </c>
      <c r="T48" s="2" t="s">
        <v>311</v>
      </c>
      <c r="U48" s="2" t="s">
        <v>311</v>
      </c>
      <c r="V48" s="2" t="s">
        <v>316</v>
      </c>
      <c r="W48" s="2" t="s">
        <v>316</v>
      </c>
      <c r="X48" s="2" t="s">
        <v>317</v>
      </c>
      <c r="Y48" s="2" t="s">
        <v>316</v>
      </c>
      <c r="Z48" s="2" t="s">
        <v>312</v>
      </c>
      <c r="AA48" s="2" t="s">
        <v>1095</v>
      </c>
      <c r="AB48" s="2" t="s">
        <v>326</v>
      </c>
      <c r="AC48" s="2" t="s">
        <v>1103</v>
      </c>
      <c r="AD48" s="2" t="s">
        <v>1105</v>
      </c>
    </row>
    <row r="49" spans="1:30" hidden="1" x14ac:dyDescent="0.3">
      <c r="A49" s="1">
        <v>45732.696909722217</v>
      </c>
      <c r="B49" s="2" t="s">
        <v>58</v>
      </c>
      <c r="C49" s="2" t="s">
        <v>926</v>
      </c>
      <c r="D49" s="2">
        <v>32</v>
      </c>
      <c r="E49" s="2" t="s">
        <v>231</v>
      </c>
      <c r="F49" s="2" t="s">
        <v>235</v>
      </c>
      <c r="G49" s="2" t="s">
        <v>240</v>
      </c>
      <c r="H49" s="2" t="s">
        <v>244</v>
      </c>
      <c r="I49" s="2">
        <v>4</v>
      </c>
      <c r="J49" s="2" t="s">
        <v>251</v>
      </c>
      <c r="K49" s="2" t="s">
        <v>310</v>
      </c>
      <c r="L49" s="2">
        <v>9</v>
      </c>
      <c r="M49" s="2" t="s">
        <v>241</v>
      </c>
      <c r="N49" s="2">
        <v>2</v>
      </c>
      <c r="O49" s="2" t="s">
        <v>311</v>
      </c>
      <c r="P49" s="2" t="s">
        <v>314</v>
      </c>
      <c r="Q49" s="2" t="s">
        <v>312</v>
      </c>
      <c r="R49" s="2" t="s">
        <v>314</v>
      </c>
      <c r="S49" s="2" t="s">
        <v>314</v>
      </c>
      <c r="T49" s="2" t="s">
        <v>314</v>
      </c>
      <c r="U49" s="2" t="s">
        <v>313</v>
      </c>
      <c r="V49" s="2" t="s">
        <v>316</v>
      </c>
      <c r="W49" s="2" t="s">
        <v>316</v>
      </c>
      <c r="X49" s="2" t="s">
        <v>319</v>
      </c>
      <c r="Y49" s="2" t="s">
        <v>315</v>
      </c>
      <c r="Z49" s="2" t="s">
        <v>312</v>
      </c>
      <c r="AA49" s="2" t="s">
        <v>316</v>
      </c>
      <c r="AB49" s="2" t="s">
        <v>325</v>
      </c>
      <c r="AC49" s="2" t="s">
        <v>354</v>
      </c>
      <c r="AD49" s="2" t="s">
        <v>454</v>
      </c>
    </row>
    <row r="50" spans="1:30" hidden="1" x14ac:dyDescent="0.3">
      <c r="A50" s="2" t="s">
        <v>30</v>
      </c>
      <c r="B50" s="2" t="s">
        <v>583</v>
      </c>
      <c r="C50" s="2" t="s">
        <v>133</v>
      </c>
      <c r="D50" s="2">
        <v>32</v>
      </c>
      <c r="E50" s="2" t="s">
        <v>231</v>
      </c>
      <c r="F50" s="2" t="s">
        <v>233</v>
      </c>
      <c r="G50" s="2" t="s">
        <v>243</v>
      </c>
      <c r="H50" s="2" t="s">
        <v>245</v>
      </c>
      <c r="I50" s="2">
        <v>26</v>
      </c>
      <c r="J50" s="2" t="s">
        <v>1037</v>
      </c>
      <c r="K50" s="2" t="s">
        <v>309</v>
      </c>
      <c r="L50" s="2">
        <v>16</v>
      </c>
      <c r="M50" s="2" t="s">
        <v>249</v>
      </c>
      <c r="N50" s="2">
        <v>2</v>
      </c>
      <c r="O50" s="2" t="s">
        <v>311</v>
      </c>
      <c r="P50" s="2" t="s">
        <v>313</v>
      </c>
      <c r="Q50" s="2" t="s">
        <v>311</v>
      </c>
      <c r="R50" s="2" t="s">
        <v>314</v>
      </c>
      <c r="S50" s="2" t="s">
        <v>314</v>
      </c>
      <c r="T50" s="2" t="s">
        <v>314</v>
      </c>
      <c r="U50" s="2" t="s">
        <v>314</v>
      </c>
      <c r="V50" s="2" t="s">
        <v>316</v>
      </c>
      <c r="W50" s="2" t="s">
        <v>316</v>
      </c>
      <c r="X50" s="2" t="s">
        <v>318</v>
      </c>
      <c r="Y50" s="2" t="s">
        <v>315</v>
      </c>
      <c r="Z50" s="2" t="s">
        <v>312</v>
      </c>
      <c r="AA50" s="2" t="s">
        <v>316</v>
      </c>
      <c r="AB50" s="2" t="s">
        <v>326</v>
      </c>
      <c r="AC50" s="2" t="s">
        <v>1104</v>
      </c>
      <c r="AD50" s="2" t="s">
        <v>1105</v>
      </c>
    </row>
    <row r="51" spans="1:30" hidden="1" x14ac:dyDescent="0.3">
      <c r="A51" s="2" t="s">
        <v>30</v>
      </c>
      <c r="B51" s="2" t="s">
        <v>620</v>
      </c>
      <c r="C51" s="2" t="s">
        <v>937</v>
      </c>
      <c r="D51" s="2">
        <v>33</v>
      </c>
      <c r="E51" s="2" t="s">
        <v>231</v>
      </c>
      <c r="F51" s="2" t="s">
        <v>236</v>
      </c>
      <c r="G51" s="2" t="s">
        <v>243</v>
      </c>
      <c r="H51" s="2" t="s">
        <v>244</v>
      </c>
      <c r="I51" s="2">
        <v>25</v>
      </c>
      <c r="J51" s="2" t="s">
        <v>262</v>
      </c>
      <c r="K51" s="2" t="s">
        <v>308</v>
      </c>
      <c r="L51" s="2">
        <v>0</v>
      </c>
      <c r="M51" s="2" t="s">
        <v>243</v>
      </c>
      <c r="N51" s="2">
        <v>0</v>
      </c>
      <c r="O51" s="2" t="s">
        <v>311</v>
      </c>
      <c r="P51" s="2" t="s">
        <v>314</v>
      </c>
      <c r="Q51" s="2" t="s">
        <v>311</v>
      </c>
      <c r="R51" s="2" t="s">
        <v>313</v>
      </c>
      <c r="S51" s="2" t="s">
        <v>314</v>
      </c>
      <c r="T51" s="2" t="s">
        <v>314</v>
      </c>
      <c r="U51" s="2" t="s">
        <v>314</v>
      </c>
      <c r="V51" s="2" t="s">
        <v>316</v>
      </c>
      <c r="W51" s="2" t="s">
        <v>316</v>
      </c>
      <c r="X51" s="2" t="s">
        <v>318</v>
      </c>
      <c r="Y51" s="2" t="s">
        <v>316</v>
      </c>
      <c r="Z51" s="2" t="s">
        <v>312</v>
      </c>
      <c r="AA51" s="2" t="s">
        <v>316</v>
      </c>
      <c r="AB51" s="2" t="s">
        <v>323</v>
      </c>
      <c r="AC51" s="2" t="s">
        <v>1100</v>
      </c>
      <c r="AD51" s="2" t="s">
        <v>1105</v>
      </c>
    </row>
    <row r="52" spans="1:30" x14ac:dyDescent="0.3">
      <c r="A52" s="2" t="s">
        <v>30</v>
      </c>
      <c r="B52" s="2" t="s">
        <v>655</v>
      </c>
      <c r="C52" s="2" t="s">
        <v>151</v>
      </c>
      <c r="D52" s="2">
        <v>34</v>
      </c>
      <c r="E52" s="2" t="s">
        <v>232</v>
      </c>
      <c r="F52" s="2" t="s">
        <v>234</v>
      </c>
      <c r="G52" s="2" t="s">
        <v>241</v>
      </c>
      <c r="H52" s="2" t="s">
        <v>244</v>
      </c>
      <c r="I52" s="2">
        <v>19</v>
      </c>
      <c r="J52" s="2" t="s">
        <v>991</v>
      </c>
      <c r="K52" s="2" t="s">
        <v>310</v>
      </c>
      <c r="L52" s="2">
        <v>16</v>
      </c>
      <c r="M52" s="2" t="s">
        <v>275</v>
      </c>
      <c r="N52" s="2">
        <v>3</v>
      </c>
      <c r="O52" s="2" t="s">
        <v>314</v>
      </c>
      <c r="P52" s="2" t="s">
        <v>313</v>
      </c>
      <c r="Q52" s="2" t="s">
        <v>311</v>
      </c>
      <c r="R52" s="2" t="s">
        <v>313</v>
      </c>
      <c r="S52" s="2" t="s">
        <v>313</v>
      </c>
      <c r="T52" s="2" t="s">
        <v>312</v>
      </c>
      <c r="U52" s="2" t="s">
        <v>312</v>
      </c>
      <c r="V52" s="2" t="s">
        <v>316</v>
      </c>
      <c r="W52" s="2" t="s">
        <v>316</v>
      </c>
      <c r="X52" s="2" t="s">
        <v>317</v>
      </c>
      <c r="Y52" s="2" t="s">
        <v>316</v>
      </c>
      <c r="Z52" s="2" t="s">
        <v>312</v>
      </c>
      <c r="AA52" s="2" t="s">
        <v>315</v>
      </c>
      <c r="AB52" s="2" t="s">
        <v>326</v>
      </c>
      <c r="AC52" s="2" t="s">
        <v>1097</v>
      </c>
      <c r="AD52" s="2" t="s">
        <v>1105</v>
      </c>
    </row>
    <row r="53" spans="1:30" hidden="1" x14ac:dyDescent="0.3">
      <c r="A53" s="2" t="s">
        <v>30</v>
      </c>
      <c r="B53" s="2" t="s">
        <v>543</v>
      </c>
      <c r="C53" s="2" t="s">
        <v>167</v>
      </c>
      <c r="D53" s="2">
        <v>35</v>
      </c>
      <c r="E53" s="2" t="s">
        <v>231</v>
      </c>
      <c r="F53" s="2" t="s">
        <v>237</v>
      </c>
      <c r="G53" s="2" t="s">
        <v>238</v>
      </c>
      <c r="H53" s="2" t="s">
        <v>246</v>
      </c>
      <c r="I53" s="2">
        <v>19</v>
      </c>
      <c r="J53" s="2" t="s">
        <v>305</v>
      </c>
      <c r="K53" s="2" t="s">
        <v>309</v>
      </c>
      <c r="L53" s="2">
        <v>2</v>
      </c>
      <c r="M53" s="2" t="s">
        <v>251</v>
      </c>
      <c r="N53" s="2">
        <v>1</v>
      </c>
      <c r="O53" s="2" t="s">
        <v>311</v>
      </c>
      <c r="P53" s="2" t="s">
        <v>314</v>
      </c>
      <c r="Q53" s="2" t="s">
        <v>311</v>
      </c>
      <c r="R53" s="2" t="s">
        <v>314</v>
      </c>
      <c r="S53" s="2" t="s">
        <v>311</v>
      </c>
      <c r="T53" s="2" t="s">
        <v>314</v>
      </c>
      <c r="U53" s="2" t="s">
        <v>314</v>
      </c>
      <c r="V53" s="2" t="s">
        <v>316</v>
      </c>
      <c r="W53" s="2" t="s">
        <v>316</v>
      </c>
      <c r="X53" s="2" t="s">
        <v>320</v>
      </c>
      <c r="Y53" s="2" t="s">
        <v>316</v>
      </c>
      <c r="Z53" s="2" t="s">
        <v>312</v>
      </c>
      <c r="AA53" s="2" t="s">
        <v>321</v>
      </c>
      <c r="AB53" s="2" t="s">
        <v>324</v>
      </c>
      <c r="AC53" s="2" t="s">
        <v>1101</v>
      </c>
      <c r="AD53" s="2" t="s">
        <v>1105</v>
      </c>
    </row>
    <row r="54" spans="1:30" x14ac:dyDescent="0.3">
      <c r="A54" s="2" t="s">
        <v>30</v>
      </c>
      <c r="B54" s="2" t="s">
        <v>537</v>
      </c>
      <c r="C54" s="2" t="s">
        <v>722</v>
      </c>
      <c r="D54" s="2">
        <v>35</v>
      </c>
      <c r="E54" s="2" t="s">
        <v>232</v>
      </c>
      <c r="F54" s="2" t="s">
        <v>237</v>
      </c>
      <c r="G54" s="2" t="s">
        <v>241</v>
      </c>
      <c r="H54" s="2" t="s">
        <v>245</v>
      </c>
      <c r="I54" s="2">
        <v>18</v>
      </c>
      <c r="J54" s="2" t="s">
        <v>964</v>
      </c>
      <c r="K54" s="2" t="s">
        <v>308</v>
      </c>
      <c r="L54" s="2">
        <v>10</v>
      </c>
      <c r="M54" s="2" t="s">
        <v>243</v>
      </c>
      <c r="N54" s="2">
        <v>3</v>
      </c>
      <c r="O54" s="2" t="s">
        <v>311</v>
      </c>
      <c r="P54" s="2" t="s">
        <v>311</v>
      </c>
      <c r="Q54" s="2" t="s">
        <v>311</v>
      </c>
      <c r="R54" s="2" t="s">
        <v>312</v>
      </c>
      <c r="S54" s="2" t="s">
        <v>313</v>
      </c>
      <c r="T54" s="2" t="s">
        <v>314</v>
      </c>
      <c r="U54" s="2" t="s">
        <v>314</v>
      </c>
      <c r="V54" s="2" t="s">
        <v>316</v>
      </c>
      <c r="W54" s="2" t="s">
        <v>316</v>
      </c>
      <c r="X54" s="2" t="s">
        <v>320</v>
      </c>
      <c r="Y54" s="2" t="s">
        <v>316</v>
      </c>
      <c r="Z54" s="2" t="s">
        <v>312</v>
      </c>
      <c r="AA54" s="2" t="s">
        <v>1095</v>
      </c>
      <c r="AB54" s="2" t="s">
        <v>323</v>
      </c>
      <c r="AC54" s="2" t="s">
        <v>1101</v>
      </c>
      <c r="AD54" s="2" t="s">
        <v>1105</v>
      </c>
    </row>
    <row r="55" spans="1:30" x14ac:dyDescent="0.3">
      <c r="A55" s="2" t="s">
        <v>30</v>
      </c>
      <c r="B55" s="2" t="s">
        <v>609</v>
      </c>
      <c r="C55" s="2" t="s">
        <v>860</v>
      </c>
      <c r="D55" s="2">
        <v>35</v>
      </c>
      <c r="E55" s="2" t="s">
        <v>232</v>
      </c>
      <c r="F55" s="2" t="s">
        <v>233</v>
      </c>
      <c r="G55" s="2" t="s">
        <v>240</v>
      </c>
      <c r="H55" s="2" t="s">
        <v>244</v>
      </c>
      <c r="I55" s="2">
        <v>7</v>
      </c>
      <c r="J55" s="2" t="s">
        <v>1016</v>
      </c>
      <c r="K55" s="2" t="s">
        <v>309</v>
      </c>
      <c r="L55" s="2">
        <v>17</v>
      </c>
      <c r="M55" s="2" t="s">
        <v>262</v>
      </c>
      <c r="N55" s="2">
        <v>2</v>
      </c>
      <c r="O55" s="2" t="s">
        <v>312</v>
      </c>
      <c r="P55" s="2" t="s">
        <v>313</v>
      </c>
      <c r="Q55" s="2" t="s">
        <v>314</v>
      </c>
      <c r="R55" s="2" t="s">
        <v>314</v>
      </c>
      <c r="S55" s="2" t="s">
        <v>314</v>
      </c>
      <c r="T55" s="2" t="s">
        <v>314</v>
      </c>
      <c r="U55" s="2" t="s">
        <v>314</v>
      </c>
      <c r="V55" s="2" t="s">
        <v>316</v>
      </c>
      <c r="W55" s="2" t="s">
        <v>316</v>
      </c>
      <c r="X55" s="2" t="s">
        <v>317</v>
      </c>
      <c r="Y55" s="2" t="s">
        <v>315</v>
      </c>
      <c r="Z55" s="2" t="s">
        <v>312</v>
      </c>
      <c r="AA55" s="2" t="s">
        <v>321</v>
      </c>
      <c r="AB55" s="2" t="s">
        <v>326</v>
      </c>
      <c r="AC55" s="2" t="s">
        <v>1098</v>
      </c>
      <c r="AD55" s="2" t="s">
        <v>1105</v>
      </c>
    </row>
    <row r="56" spans="1:30" hidden="1" x14ac:dyDescent="0.3">
      <c r="A56" s="2" t="s">
        <v>30</v>
      </c>
      <c r="B56" s="2" t="s">
        <v>641</v>
      </c>
      <c r="C56" s="2" t="s">
        <v>869</v>
      </c>
      <c r="D56" s="2">
        <v>35</v>
      </c>
      <c r="E56" s="2" t="s">
        <v>231</v>
      </c>
      <c r="F56" s="2" t="s">
        <v>235</v>
      </c>
      <c r="G56" s="2" t="s">
        <v>242</v>
      </c>
      <c r="H56" s="2" t="s">
        <v>244</v>
      </c>
      <c r="I56" s="2">
        <v>26</v>
      </c>
      <c r="J56" s="2" t="s">
        <v>1087</v>
      </c>
      <c r="K56" s="2" t="s">
        <v>308</v>
      </c>
      <c r="L56" s="2">
        <v>13</v>
      </c>
      <c r="M56" s="2" t="s">
        <v>249</v>
      </c>
      <c r="N56" s="2">
        <v>0</v>
      </c>
      <c r="O56" s="2" t="s">
        <v>312</v>
      </c>
      <c r="P56" s="2" t="s">
        <v>311</v>
      </c>
      <c r="Q56" s="2" t="s">
        <v>312</v>
      </c>
      <c r="R56" s="2" t="s">
        <v>314</v>
      </c>
      <c r="S56" s="2" t="s">
        <v>314</v>
      </c>
      <c r="T56" s="2" t="s">
        <v>311</v>
      </c>
      <c r="U56" s="2" t="s">
        <v>311</v>
      </c>
      <c r="V56" s="2" t="s">
        <v>316</v>
      </c>
      <c r="W56" s="2" t="s">
        <v>316</v>
      </c>
      <c r="X56" s="2" t="s">
        <v>320</v>
      </c>
      <c r="Y56" s="2" t="s">
        <v>316</v>
      </c>
      <c r="Z56" s="2" t="s">
        <v>312</v>
      </c>
      <c r="AA56" s="2" t="s">
        <v>315</v>
      </c>
      <c r="AB56" s="2" t="s">
        <v>325</v>
      </c>
      <c r="AC56" s="2" t="s">
        <v>1103</v>
      </c>
      <c r="AD56" s="2" t="s">
        <v>1105</v>
      </c>
    </row>
    <row r="57" spans="1:30" x14ac:dyDescent="0.3">
      <c r="A57" s="1">
        <v>45795.48510416667</v>
      </c>
      <c r="B57" s="2" t="s">
        <v>57</v>
      </c>
      <c r="C57" s="2" t="s">
        <v>708</v>
      </c>
      <c r="D57" s="2">
        <v>37</v>
      </c>
      <c r="E57" s="2" t="s">
        <v>232</v>
      </c>
      <c r="F57" s="2" t="s">
        <v>234</v>
      </c>
      <c r="G57" s="2" t="s">
        <v>239</v>
      </c>
      <c r="H57" s="2" t="s">
        <v>244</v>
      </c>
      <c r="I57" s="2">
        <v>20</v>
      </c>
      <c r="J57" s="2" t="s">
        <v>249</v>
      </c>
      <c r="K57" s="2" t="s">
        <v>310</v>
      </c>
      <c r="L57" s="2">
        <v>4</v>
      </c>
      <c r="M57" s="2" t="s">
        <v>243</v>
      </c>
      <c r="N57" s="2">
        <v>3</v>
      </c>
      <c r="O57" s="2" t="s">
        <v>311</v>
      </c>
      <c r="P57" s="2" t="s">
        <v>313</v>
      </c>
      <c r="Q57" s="2" t="s">
        <v>312</v>
      </c>
      <c r="R57" s="2" t="s">
        <v>314</v>
      </c>
      <c r="S57" s="2" t="s">
        <v>311</v>
      </c>
      <c r="T57" s="2" t="s">
        <v>311</v>
      </c>
      <c r="U57" s="2" t="s">
        <v>313</v>
      </c>
      <c r="V57" s="2" t="s">
        <v>316</v>
      </c>
      <c r="W57" s="2" t="s">
        <v>316</v>
      </c>
      <c r="X57" s="2" t="s">
        <v>320</v>
      </c>
      <c r="Y57" s="2" t="s">
        <v>316</v>
      </c>
      <c r="Z57" s="2" t="s">
        <v>312</v>
      </c>
      <c r="AA57" s="2" t="s">
        <v>321</v>
      </c>
      <c r="AB57" s="2" t="s">
        <v>326</v>
      </c>
      <c r="AC57" s="2" t="s">
        <v>353</v>
      </c>
      <c r="AD57" s="2" t="s">
        <v>453</v>
      </c>
    </row>
    <row r="58" spans="1:30" x14ac:dyDescent="0.3">
      <c r="A58" s="2" t="s">
        <v>30</v>
      </c>
      <c r="B58" s="2" t="s">
        <v>596</v>
      </c>
      <c r="C58" s="2" t="s">
        <v>849</v>
      </c>
      <c r="D58" s="2">
        <v>39</v>
      </c>
      <c r="E58" s="2" t="s">
        <v>232</v>
      </c>
      <c r="F58" s="2" t="s">
        <v>233</v>
      </c>
      <c r="G58" s="2" t="s">
        <v>239</v>
      </c>
      <c r="H58" s="2" t="s">
        <v>245</v>
      </c>
      <c r="I58" s="2">
        <v>15</v>
      </c>
      <c r="J58" s="2" t="s">
        <v>1009</v>
      </c>
      <c r="K58" s="2" t="s">
        <v>310</v>
      </c>
      <c r="L58" s="2">
        <v>13</v>
      </c>
      <c r="M58" s="2" t="s">
        <v>249</v>
      </c>
      <c r="N58" s="2">
        <v>0</v>
      </c>
      <c r="O58" s="2" t="s">
        <v>313</v>
      </c>
      <c r="P58" s="2" t="s">
        <v>312</v>
      </c>
      <c r="Q58" s="2" t="s">
        <v>314</v>
      </c>
      <c r="R58" s="2" t="s">
        <v>311</v>
      </c>
      <c r="S58" s="2" t="s">
        <v>312</v>
      </c>
      <c r="T58" s="2" t="s">
        <v>314</v>
      </c>
      <c r="U58" s="2" t="s">
        <v>314</v>
      </c>
      <c r="V58" s="2" t="s">
        <v>316</v>
      </c>
      <c r="W58" s="2" t="s">
        <v>316</v>
      </c>
      <c r="X58" s="2" t="s">
        <v>318</v>
      </c>
      <c r="Y58" s="2" t="s">
        <v>315</v>
      </c>
      <c r="Z58" s="2" t="s">
        <v>312</v>
      </c>
      <c r="AA58" s="2" t="s">
        <v>321</v>
      </c>
      <c r="AB58" s="2" t="s">
        <v>326</v>
      </c>
      <c r="AC58" s="2" t="s">
        <v>1103</v>
      </c>
      <c r="AD58" s="2" t="s">
        <v>1105</v>
      </c>
    </row>
    <row r="59" spans="1:30" x14ac:dyDescent="0.3">
      <c r="A59" s="2" t="s">
        <v>30</v>
      </c>
      <c r="B59" s="2" t="s">
        <v>629</v>
      </c>
      <c r="C59" s="2" t="s">
        <v>815</v>
      </c>
      <c r="D59" s="2">
        <v>39</v>
      </c>
      <c r="E59" s="2" t="s">
        <v>232</v>
      </c>
      <c r="F59" s="2" t="s">
        <v>235</v>
      </c>
      <c r="G59" s="2" t="s">
        <v>242</v>
      </c>
      <c r="H59" s="2" t="s">
        <v>246</v>
      </c>
      <c r="I59" s="2">
        <v>26</v>
      </c>
      <c r="J59" s="2" t="s">
        <v>1038</v>
      </c>
      <c r="K59" s="2" t="s">
        <v>309</v>
      </c>
      <c r="L59" s="2">
        <v>0</v>
      </c>
      <c r="M59" s="2" t="s">
        <v>243</v>
      </c>
      <c r="N59" s="2">
        <v>3</v>
      </c>
      <c r="O59" s="2" t="s">
        <v>312</v>
      </c>
      <c r="P59" s="2" t="s">
        <v>311</v>
      </c>
      <c r="Q59" s="2" t="s">
        <v>312</v>
      </c>
      <c r="R59" s="2" t="s">
        <v>311</v>
      </c>
      <c r="S59" s="2" t="s">
        <v>311</v>
      </c>
      <c r="T59" s="2" t="s">
        <v>311</v>
      </c>
      <c r="U59" s="2" t="s">
        <v>311</v>
      </c>
      <c r="V59" s="2" t="s">
        <v>316</v>
      </c>
      <c r="W59" s="2" t="s">
        <v>316</v>
      </c>
      <c r="X59" s="2" t="s">
        <v>317</v>
      </c>
      <c r="Y59" s="2" t="s">
        <v>316</v>
      </c>
      <c r="Z59" s="2" t="s">
        <v>312</v>
      </c>
      <c r="AA59" s="2" t="s">
        <v>315</v>
      </c>
      <c r="AB59" s="2" t="s">
        <v>324</v>
      </c>
      <c r="AC59" s="2" t="s">
        <v>1097</v>
      </c>
      <c r="AD59" s="2" t="s">
        <v>1105</v>
      </c>
    </row>
    <row r="60" spans="1:30" x14ac:dyDescent="0.3">
      <c r="A60" s="2" t="s">
        <v>30</v>
      </c>
      <c r="B60" s="2" t="s">
        <v>533</v>
      </c>
      <c r="C60" s="2" t="s">
        <v>825</v>
      </c>
      <c r="D60" s="2">
        <v>41</v>
      </c>
      <c r="E60" s="2" t="s">
        <v>232</v>
      </c>
      <c r="F60" s="2" t="s">
        <v>234</v>
      </c>
      <c r="G60" s="2" t="s">
        <v>238</v>
      </c>
      <c r="H60" s="2" t="s">
        <v>244</v>
      </c>
      <c r="I60" s="2">
        <v>27</v>
      </c>
      <c r="J60" s="2" t="s">
        <v>249</v>
      </c>
      <c r="K60" s="2" t="s">
        <v>309</v>
      </c>
      <c r="L60" s="2">
        <v>4</v>
      </c>
      <c r="M60" s="2" t="s">
        <v>255</v>
      </c>
      <c r="N60" s="2">
        <v>0</v>
      </c>
      <c r="O60" s="2" t="s">
        <v>314</v>
      </c>
      <c r="P60" s="2" t="s">
        <v>314</v>
      </c>
      <c r="Q60" s="2" t="s">
        <v>314</v>
      </c>
      <c r="R60" s="2" t="s">
        <v>311</v>
      </c>
      <c r="S60" s="2" t="s">
        <v>312</v>
      </c>
      <c r="T60" s="2" t="s">
        <v>311</v>
      </c>
      <c r="U60" s="2" t="s">
        <v>311</v>
      </c>
      <c r="V60" s="2" t="s">
        <v>316</v>
      </c>
      <c r="W60" s="2" t="s">
        <v>316</v>
      </c>
      <c r="X60" s="2" t="s">
        <v>317</v>
      </c>
      <c r="Y60" s="2" t="s">
        <v>316</v>
      </c>
      <c r="Z60" s="2" t="s">
        <v>312</v>
      </c>
      <c r="AA60" s="2" t="s">
        <v>315</v>
      </c>
      <c r="AB60" s="2" t="s">
        <v>326</v>
      </c>
      <c r="AC60" s="2" t="s">
        <v>1099</v>
      </c>
      <c r="AD60" s="2" t="s">
        <v>1105</v>
      </c>
    </row>
    <row r="61" spans="1:30" x14ac:dyDescent="0.3">
      <c r="A61" s="1">
        <v>45748.173877314817</v>
      </c>
      <c r="B61" s="2" t="s">
        <v>60</v>
      </c>
      <c r="C61" s="2" t="s">
        <v>668</v>
      </c>
      <c r="D61" s="2">
        <v>42</v>
      </c>
      <c r="E61" s="2" t="s">
        <v>232</v>
      </c>
      <c r="F61" s="2" t="s">
        <v>236</v>
      </c>
      <c r="G61" s="2" t="s">
        <v>242</v>
      </c>
      <c r="H61" s="2" t="s">
        <v>244</v>
      </c>
      <c r="I61" s="2">
        <v>20</v>
      </c>
      <c r="J61" s="2" t="s">
        <v>266</v>
      </c>
      <c r="K61" s="2" t="s">
        <v>309</v>
      </c>
      <c r="L61" s="2">
        <v>3</v>
      </c>
      <c r="M61" s="2" t="s">
        <v>262</v>
      </c>
      <c r="N61" s="2">
        <v>1</v>
      </c>
      <c r="O61" s="2" t="s">
        <v>314</v>
      </c>
      <c r="P61" s="2" t="s">
        <v>313</v>
      </c>
      <c r="Q61" s="2" t="s">
        <v>314</v>
      </c>
      <c r="R61" s="2" t="s">
        <v>314</v>
      </c>
      <c r="S61" s="2" t="s">
        <v>311</v>
      </c>
      <c r="T61" s="2" t="s">
        <v>311</v>
      </c>
      <c r="U61" s="2" t="s">
        <v>314</v>
      </c>
      <c r="V61" s="2" t="s">
        <v>316</v>
      </c>
      <c r="W61" s="2" t="s">
        <v>316</v>
      </c>
      <c r="X61" s="2" t="s">
        <v>319</v>
      </c>
      <c r="Y61" s="2" t="s">
        <v>315</v>
      </c>
      <c r="Z61" s="2" t="s">
        <v>312</v>
      </c>
      <c r="AA61" s="2" t="s">
        <v>316</v>
      </c>
      <c r="AB61" s="2" t="s">
        <v>324</v>
      </c>
      <c r="AC61" s="2" t="s">
        <v>356</v>
      </c>
      <c r="AD61" s="2" t="s">
        <v>456</v>
      </c>
    </row>
    <row r="62" spans="1:30" x14ac:dyDescent="0.3">
      <c r="A62" s="2" t="s">
        <v>30</v>
      </c>
      <c r="B62" s="2" t="s">
        <v>546</v>
      </c>
      <c r="C62" s="2" t="s">
        <v>847</v>
      </c>
      <c r="D62" s="2">
        <v>42</v>
      </c>
      <c r="E62" s="2" t="s">
        <v>232</v>
      </c>
      <c r="F62" s="2" t="s">
        <v>235</v>
      </c>
      <c r="G62" s="2" t="s">
        <v>243</v>
      </c>
      <c r="H62" s="2" t="s">
        <v>246</v>
      </c>
      <c r="I62" s="2">
        <v>28</v>
      </c>
      <c r="J62" s="2" t="s">
        <v>266</v>
      </c>
      <c r="K62" s="2" t="s">
        <v>309</v>
      </c>
      <c r="L62" s="2">
        <v>11</v>
      </c>
      <c r="M62" s="2" t="s">
        <v>262</v>
      </c>
      <c r="N62" s="2">
        <v>1</v>
      </c>
      <c r="O62" s="2" t="s">
        <v>313</v>
      </c>
      <c r="P62" s="2" t="s">
        <v>312</v>
      </c>
      <c r="Q62" s="2" t="s">
        <v>312</v>
      </c>
      <c r="R62" s="2" t="s">
        <v>312</v>
      </c>
      <c r="S62" s="2" t="s">
        <v>314</v>
      </c>
      <c r="T62" s="2" t="s">
        <v>311</v>
      </c>
      <c r="U62" s="2" t="s">
        <v>311</v>
      </c>
      <c r="V62" s="2" t="s">
        <v>316</v>
      </c>
      <c r="W62" s="2" t="s">
        <v>316</v>
      </c>
      <c r="X62" s="2" t="s">
        <v>318</v>
      </c>
      <c r="Y62" s="2" t="s">
        <v>315</v>
      </c>
      <c r="Z62" s="2" t="s">
        <v>312</v>
      </c>
      <c r="AA62" s="2" t="s">
        <v>315</v>
      </c>
      <c r="AB62" s="2" t="s">
        <v>324</v>
      </c>
      <c r="AC62" s="2" t="s">
        <v>1099</v>
      </c>
      <c r="AD62" s="2" t="s">
        <v>1105</v>
      </c>
    </row>
    <row r="63" spans="1:30" x14ac:dyDescent="0.3">
      <c r="A63" s="1">
        <v>45764.672048611108</v>
      </c>
      <c r="B63" s="2" t="s">
        <v>124</v>
      </c>
      <c r="C63" s="2" t="s">
        <v>761</v>
      </c>
      <c r="D63" s="2">
        <v>45</v>
      </c>
      <c r="E63" s="2" t="s">
        <v>232</v>
      </c>
      <c r="F63" s="2" t="s">
        <v>235</v>
      </c>
      <c r="G63" s="2" t="s">
        <v>241</v>
      </c>
      <c r="H63" s="2" t="s">
        <v>244</v>
      </c>
      <c r="I63" s="2">
        <v>21</v>
      </c>
      <c r="J63" s="2" t="s">
        <v>304</v>
      </c>
      <c r="K63" s="2" t="s">
        <v>309</v>
      </c>
      <c r="L63" s="2">
        <v>3</v>
      </c>
      <c r="M63" s="2" t="s">
        <v>275</v>
      </c>
      <c r="N63" s="2">
        <v>2</v>
      </c>
      <c r="O63" s="2" t="s">
        <v>312</v>
      </c>
      <c r="P63" s="2" t="s">
        <v>311</v>
      </c>
      <c r="Q63" s="2" t="s">
        <v>314</v>
      </c>
      <c r="R63" s="2" t="s">
        <v>312</v>
      </c>
      <c r="S63" s="2" t="s">
        <v>314</v>
      </c>
      <c r="T63" s="2" t="s">
        <v>313</v>
      </c>
      <c r="U63" s="2" t="s">
        <v>311</v>
      </c>
      <c r="V63" s="2" t="s">
        <v>316</v>
      </c>
      <c r="W63" s="2" t="s">
        <v>316</v>
      </c>
      <c r="X63" s="2" t="s">
        <v>318</v>
      </c>
      <c r="Y63" s="2" t="s">
        <v>316</v>
      </c>
      <c r="Z63" s="2" t="s">
        <v>312</v>
      </c>
      <c r="AA63" s="2" t="s">
        <v>322</v>
      </c>
      <c r="AB63" s="2" t="s">
        <v>325</v>
      </c>
      <c r="AC63" s="2" t="s">
        <v>420</v>
      </c>
      <c r="AD63" s="2" t="s">
        <v>520</v>
      </c>
    </row>
    <row r="64" spans="1:30" x14ac:dyDescent="0.3">
      <c r="A64" s="1">
        <v>45694.067210648151</v>
      </c>
      <c r="B64" s="2" t="s">
        <v>129</v>
      </c>
      <c r="C64" s="2" t="s">
        <v>898</v>
      </c>
      <c r="D64" s="2">
        <v>47</v>
      </c>
      <c r="E64" s="2" t="s">
        <v>232</v>
      </c>
      <c r="F64" s="2" t="s">
        <v>237</v>
      </c>
      <c r="G64" s="2" t="s">
        <v>238</v>
      </c>
      <c r="H64" s="2" t="s">
        <v>246</v>
      </c>
      <c r="I64" s="2">
        <v>20</v>
      </c>
      <c r="J64" s="2" t="s">
        <v>306</v>
      </c>
      <c r="K64" s="2" t="s">
        <v>309</v>
      </c>
      <c r="L64" s="2">
        <v>3</v>
      </c>
      <c r="M64" s="2" t="s">
        <v>251</v>
      </c>
      <c r="N64" s="2">
        <v>1</v>
      </c>
      <c r="O64" s="2" t="s">
        <v>311</v>
      </c>
      <c r="P64" s="2" t="s">
        <v>312</v>
      </c>
      <c r="Q64" s="2" t="s">
        <v>313</v>
      </c>
      <c r="R64" s="2" t="s">
        <v>312</v>
      </c>
      <c r="S64" s="2" t="s">
        <v>314</v>
      </c>
      <c r="T64" s="2" t="s">
        <v>314</v>
      </c>
      <c r="U64" s="2" t="s">
        <v>312</v>
      </c>
      <c r="V64" s="2" t="s">
        <v>316</v>
      </c>
      <c r="W64" s="2" t="s">
        <v>316</v>
      </c>
      <c r="X64" s="2" t="s">
        <v>318</v>
      </c>
      <c r="Y64" s="2" t="s">
        <v>316</v>
      </c>
      <c r="Z64" s="2" t="s">
        <v>312</v>
      </c>
      <c r="AA64" s="2" t="s">
        <v>316</v>
      </c>
      <c r="AB64" s="2" t="s">
        <v>325</v>
      </c>
      <c r="AC64" s="2" t="s">
        <v>425</v>
      </c>
      <c r="AD64" s="2" t="s">
        <v>525</v>
      </c>
    </row>
    <row r="65" spans="1:30" hidden="1" x14ac:dyDescent="0.3">
      <c r="A65" s="2" t="s">
        <v>30</v>
      </c>
      <c r="B65" s="2" t="s">
        <v>528</v>
      </c>
      <c r="C65" s="2" t="s">
        <v>1108</v>
      </c>
      <c r="D65" s="2">
        <v>47</v>
      </c>
      <c r="E65" s="2" t="s">
        <v>231</v>
      </c>
      <c r="F65" s="2" t="s">
        <v>233</v>
      </c>
      <c r="G65" s="2" t="s">
        <v>242</v>
      </c>
      <c r="H65" s="2" t="s">
        <v>245</v>
      </c>
      <c r="I65" s="2">
        <v>24</v>
      </c>
      <c r="J65" s="2" t="s">
        <v>1016</v>
      </c>
      <c r="K65" s="2" t="s">
        <v>308</v>
      </c>
      <c r="L65" s="2">
        <v>13</v>
      </c>
      <c r="M65" s="2" t="s">
        <v>249</v>
      </c>
      <c r="N65" s="2">
        <v>1</v>
      </c>
      <c r="O65" s="2" t="s">
        <v>312</v>
      </c>
      <c r="P65" s="2" t="s">
        <v>313</v>
      </c>
      <c r="Q65" s="2" t="s">
        <v>312</v>
      </c>
      <c r="R65" s="2" t="s">
        <v>312</v>
      </c>
      <c r="S65" s="2" t="s">
        <v>311</v>
      </c>
      <c r="T65" s="2" t="s">
        <v>313</v>
      </c>
      <c r="U65" s="2" t="s">
        <v>313</v>
      </c>
      <c r="V65" s="2" t="s">
        <v>316</v>
      </c>
      <c r="W65" s="2" t="s">
        <v>316</v>
      </c>
      <c r="X65" s="2" t="s">
        <v>318</v>
      </c>
      <c r="Y65" s="2" t="s">
        <v>315</v>
      </c>
      <c r="Z65" s="2" t="s">
        <v>312</v>
      </c>
      <c r="AA65" s="2" t="s">
        <v>315</v>
      </c>
      <c r="AB65" s="2" t="s">
        <v>323</v>
      </c>
      <c r="AC65" s="2" t="s">
        <v>1097</v>
      </c>
      <c r="AD65" s="2" t="s">
        <v>1105</v>
      </c>
    </row>
    <row r="66" spans="1:30" hidden="1" x14ac:dyDescent="0.3">
      <c r="A66" s="2" t="s">
        <v>30</v>
      </c>
      <c r="B66" s="2" t="s">
        <v>583</v>
      </c>
      <c r="C66" s="2" t="s">
        <v>877</v>
      </c>
      <c r="D66" s="2">
        <v>55</v>
      </c>
      <c r="E66" s="2" t="s">
        <v>231</v>
      </c>
      <c r="F66" s="2" t="s">
        <v>235</v>
      </c>
      <c r="G66" s="2" t="s">
        <v>239</v>
      </c>
      <c r="H66" s="2" t="s">
        <v>244</v>
      </c>
      <c r="I66" s="2">
        <v>13</v>
      </c>
      <c r="J66" s="2" t="s">
        <v>994</v>
      </c>
      <c r="K66" s="2" t="s">
        <v>308</v>
      </c>
      <c r="L66" s="2">
        <v>9</v>
      </c>
      <c r="M66" s="2" t="s">
        <v>241</v>
      </c>
      <c r="N66" s="2">
        <v>2</v>
      </c>
      <c r="O66" s="2" t="s">
        <v>312</v>
      </c>
      <c r="P66" s="2" t="s">
        <v>314</v>
      </c>
      <c r="Q66" s="2" t="s">
        <v>311</v>
      </c>
      <c r="R66" s="2" t="s">
        <v>314</v>
      </c>
      <c r="S66" s="2" t="s">
        <v>312</v>
      </c>
      <c r="T66" s="2" t="s">
        <v>312</v>
      </c>
      <c r="U66" s="2" t="s">
        <v>312</v>
      </c>
      <c r="V66" s="2" t="s">
        <v>316</v>
      </c>
      <c r="W66" s="2" t="s">
        <v>316</v>
      </c>
      <c r="X66" s="2" t="s">
        <v>320</v>
      </c>
      <c r="Y66" s="2" t="s">
        <v>316</v>
      </c>
      <c r="Z66" s="2" t="s">
        <v>312</v>
      </c>
      <c r="AA66" s="2" t="s">
        <v>315</v>
      </c>
      <c r="AB66" s="2" t="s">
        <v>325</v>
      </c>
      <c r="AC66" s="2" t="s">
        <v>1103</v>
      </c>
      <c r="AD66" s="2" t="s">
        <v>1105</v>
      </c>
    </row>
    <row r="67" spans="1:30" hidden="1" x14ac:dyDescent="0.3">
      <c r="A67" s="2" t="s">
        <v>30</v>
      </c>
      <c r="B67" s="2" t="s">
        <v>614</v>
      </c>
      <c r="C67" s="2" t="s">
        <v>707</v>
      </c>
      <c r="D67" s="2">
        <v>58</v>
      </c>
      <c r="E67" s="2" t="s">
        <v>231</v>
      </c>
      <c r="F67" s="2" t="s">
        <v>234</v>
      </c>
      <c r="G67" s="2" t="s">
        <v>241</v>
      </c>
      <c r="H67" s="2" t="s">
        <v>244</v>
      </c>
      <c r="I67" s="2">
        <v>21</v>
      </c>
      <c r="J67" s="2" t="s">
        <v>243</v>
      </c>
      <c r="K67" s="2" t="s">
        <v>310</v>
      </c>
      <c r="L67" s="2">
        <v>16</v>
      </c>
      <c r="M67" s="2" t="s">
        <v>262</v>
      </c>
      <c r="N67" s="2">
        <v>3</v>
      </c>
      <c r="O67" s="2" t="s">
        <v>314</v>
      </c>
      <c r="P67" s="2" t="s">
        <v>312</v>
      </c>
      <c r="Q67" s="2" t="s">
        <v>313</v>
      </c>
      <c r="R67" s="2" t="s">
        <v>314</v>
      </c>
      <c r="S67" s="2" t="s">
        <v>313</v>
      </c>
      <c r="T67" s="2" t="s">
        <v>314</v>
      </c>
      <c r="U67" s="2" t="s">
        <v>314</v>
      </c>
      <c r="V67" s="2" t="s">
        <v>316</v>
      </c>
      <c r="W67" s="2" t="s">
        <v>316</v>
      </c>
      <c r="X67" s="2" t="s">
        <v>318</v>
      </c>
      <c r="Y67" s="2" t="s">
        <v>315</v>
      </c>
      <c r="Z67" s="2" t="s">
        <v>312</v>
      </c>
      <c r="AA67" s="2" t="s">
        <v>321</v>
      </c>
      <c r="AB67" s="2" t="s">
        <v>323</v>
      </c>
      <c r="AC67" s="2" t="s">
        <v>1098</v>
      </c>
      <c r="AD67" s="2" t="s">
        <v>1105</v>
      </c>
    </row>
    <row r="68" spans="1:30" hidden="1" x14ac:dyDescent="0.3">
      <c r="A68" s="2" t="s">
        <v>30</v>
      </c>
      <c r="B68" s="2" t="s">
        <v>531</v>
      </c>
      <c r="C68" s="2" t="s">
        <v>206</v>
      </c>
      <c r="D68" s="2">
        <v>58</v>
      </c>
      <c r="E68" s="2" t="s">
        <v>231</v>
      </c>
      <c r="F68" s="2" t="s">
        <v>237</v>
      </c>
      <c r="G68" s="2" t="s">
        <v>240</v>
      </c>
      <c r="H68" s="2" t="s">
        <v>244</v>
      </c>
      <c r="I68" s="2">
        <v>6</v>
      </c>
      <c r="J68" s="2" t="s">
        <v>1062</v>
      </c>
      <c r="K68" s="2" t="s">
        <v>310</v>
      </c>
      <c r="L68" s="2">
        <v>13</v>
      </c>
      <c r="M68" s="2" t="s">
        <v>251</v>
      </c>
      <c r="N68" s="2">
        <v>3</v>
      </c>
      <c r="O68" s="2" t="s">
        <v>312</v>
      </c>
      <c r="P68" s="2" t="s">
        <v>313</v>
      </c>
      <c r="Q68" s="2" t="s">
        <v>314</v>
      </c>
      <c r="R68" s="2" t="s">
        <v>312</v>
      </c>
      <c r="S68" s="2" t="s">
        <v>313</v>
      </c>
      <c r="T68" s="2" t="s">
        <v>312</v>
      </c>
      <c r="U68" s="2" t="s">
        <v>312</v>
      </c>
      <c r="V68" s="2" t="s">
        <v>316</v>
      </c>
      <c r="W68" s="2" t="s">
        <v>316</v>
      </c>
      <c r="X68" s="2" t="s">
        <v>320</v>
      </c>
      <c r="Y68" s="2" t="s">
        <v>315</v>
      </c>
      <c r="Z68" s="2" t="s">
        <v>312</v>
      </c>
      <c r="AA68" s="2" t="s">
        <v>1095</v>
      </c>
      <c r="AB68" s="2" t="s">
        <v>326</v>
      </c>
      <c r="AC68" s="2" t="s">
        <v>1104</v>
      </c>
      <c r="AD68" s="2" t="s">
        <v>1105</v>
      </c>
    </row>
    <row r="69" spans="1:30" x14ac:dyDescent="0.3">
      <c r="A69" s="2" t="s">
        <v>30</v>
      </c>
      <c r="B69" s="2" t="s">
        <v>538</v>
      </c>
      <c r="C69" s="2" t="s">
        <v>216</v>
      </c>
      <c r="D69" s="2">
        <v>59</v>
      </c>
      <c r="E69" s="2" t="s">
        <v>232</v>
      </c>
      <c r="F69" s="2" t="s">
        <v>237</v>
      </c>
      <c r="G69" s="2" t="s">
        <v>239</v>
      </c>
      <c r="H69" s="2" t="s">
        <v>244</v>
      </c>
      <c r="I69" s="2">
        <v>21</v>
      </c>
      <c r="J69" s="2" t="s">
        <v>992</v>
      </c>
      <c r="K69" s="2" t="s">
        <v>308</v>
      </c>
      <c r="L69" s="2">
        <v>14</v>
      </c>
      <c r="M69" s="2" t="s">
        <v>243</v>
      </c>
      <c r="N69" s="2">
        <v>1</v>
      </c>
      <c r="O69" s="2" t="s">
        <v>312</v>
      </c>
      <c r="P69" s="2" t="s">
        <v>311</v>
      </c>
      <c r="Q69" s="2" t="s">
        <v>312</v>
      </c>
      <c r="R69" s="2" t="s">
        <v>314</v>
      </c>
      <c r="S69" s="2" t="s">
        <v>313</v>
      </c>
      <c r="T69" s="2" t="s">
        <v>314</v>
      </c>
      <c r="U69" s="2" t="s">
        <v>314</v>
      </c>
      <c r="V69" s="2" t="s">
        <v>316</v>
      </c>
      <c r="W69" s="2" t="s">
        <v>316</v>
      </c>
      <c r="X69" s="2" t="s">
        <v>318</v>
      </c>
      <c r="Y69" s="2" t="s">
        <v>315</v>
      </c>
      <c r="Z69" s="2" t="s">
        <v>312</v>
      </c>
      <c r="AA69" s="2" t="s">
        <v>1095</v>
      </c>
      <c r="AB69" s="2" t="s">
        <v>326</v>
      </c>
      <c r="AC69" s="2" t="s">
        <v>1102</v>
      </c>
      <c r="AD69" s="2" t="s">
        <v>1105</v>
      </c>
    </row>
    <row r="70" spans="1:30" hidden="1" x14ac:dyDescent="0.3">
      <c r="A70" s="2" t="s">
        <v>30</v>
      </c>
      <c r="B70" s="2" t="s">
        <v>605</v>
      </c>
      <c r="C70" s="2" t="s">
        <v>135</v>
      </c>
      <c r="D70" s="2">
        <v>59</v>
      </c>
      <c r="E70" s="2" t="s">
        <v>231</v>
      </c>
      <c r="F70" s="2" t="s">
        <v>236</v>
      </c>
      <c r="G70" s="2" t="s">
        <v>238</v>
      </c>
      <c r="H70" s="2" t="s">
        <v>244</v>
      </c>
      <c r="I70" s="2">
        <v>29</v>
      </c>
      <c r="J70" s="2" t="s">
        <v>1040</v>
      </c>
      <c r="K70" s="2" t="s">
        <v>310</v>
      </c>
      <c r="L70" s="2">
        <v>12</v>
      </c>
      <c r="M70" s="2" t="s">
        <v>249</v>
      </c>
      <c r="N70" s="2">
        <v>1</v>
      </c>
      <c r="O70" s="2" t="s">
        <v>311</v>
      </c>
      <c r="P70" s="2" t="s">
        <v>313</v>
      </c>
      <c r="Q70" s="2" t="s">
        <v>312</v>
      </c>
      <c r="R70" s="2" t="s">
        <v>312</v>
      </c>
      <c r="S70" s="2" t="s">
        <v>313</v>
      </c>
      <c r="T70" s="2" t="s">
        <v>314</v>
      </c>
      <c r="U70" s="2" t="s">
        <v>314</v>
      </c>
      <c r="V70" s="2" t="s">
        <v>316</v>
      </c>
      <c r="W70" s="2" t="s">
        <v>316</v>
      </c>
      <c r="X70" s="2" t="s">
        <v>317</v>
      </c>
      <c r="Y70" s="2" t="s">
        <v>315</v>
      </c>
      <c r="Z70" s="2" t="s">
        <v>312</v>
      </c>
      <c r="AA70" s="2" t="s">
        <v>315</v>
      </c>
      <c r="AB70" s="2" t="s">
        <v>326</v>
      </c>
      <c r="AC70" s="2" t="s">
        <v>1101</v>
      </c>
      <c r="AD70" s="2" t="s">
        <v>1105</v>
      </c>
    </row>
    <row r="71" spans="1:30" x14ac:dyDescent="0.3">
      <c r="A71" s="2" t="s">
        <v>30</v>
      </c>
      <c r="B71" s="2" t="s">
        <v>576</v>
      </c>
      <c r="C71" s="2" t="s">
        <v>144</v>
      </c>
      <c r="D71" s="2">
        <v>60</v>
      </c>
      <c r="E71" s="2" t="s">
        <v>232</v>
      </c>
      <c r="F71" s="2" t="s">
        <v>237</v>
      </c>
      <c r="G71" s="2" t="s">
        <v>240</v>
      </c>
      <c r="H71" s="2" t="s">
        <v>244</v>
      </c>
      <c r="I71" s="2">
        <v>23</v>
      </c>
      <c r="J71" s="2" t="s">
        <v>987</v>
      </c>
      <c r="K71" s="2" t="s">
        <v>309</v>
      </c>
      <c r="L71" s="2">
        <v>10</v>
      </c>
      <c r="M71" s="2" t="s">
        <v>241</v>
      </c>
      <c r="N71" s="2">
        <v>1</v>
      </c>
      <c r="O71" s="2" t="s">
        <v>312</v>
      </c>
      <c r="P71" s="2" t="s">
        <v>311</v>
      </c>
      <c r="Q71" s="2" t="s">
        <v>314</v>
      </c>
      <c r="R71" s="2" t="s">
        <v>314</v>
      </c>
      <c r="S71" s="2" t="s">
        <v>312</v>
      </c>
      <c r="T71" s="2" t="s">
        <v>311</v>
      </c>
      <c r="U71" s="2" t="s">
        <v>311</v>
      </c>
      <c r="V71" s="2" t="s">
        <v>316</v>
      </c>
      <c r="W71" s="2" t="s">
        <v>316</v>
      </c>
      <c r="X71" s="2" t="s">
        <v>319</v>
      </c>
      <c r="Y71" s="2" t="s">
        <v>315</v>
      </c>
      <c r="Z71" s="2" t="s">
        <v>312</v>
      </c>
      <c r="AA71" s="2" t="s">
        <v>1095</v>
      </c>
      <c r="AB71" s="2" t="s">
        <v>325</v>
      </c>
      <c r="AC71" s="2" t="s">
        <v>1098</v>
      </c>
      <c r="AD71" s="2" t="s">
        <v>1105</v>
      </c>
    </row>
    <row r="72" spans="1:30" x14ac:dyDescent="0.3">
      <c r="A72" s="2" t="s">
        <v>30</v>
      </c>
      <c r="B72" s="2" t="s">
        <v>606</v>
      </c>
      <c r="C72" s="2" t="s">
        <v>889</v>
      </c>
      <c r="D72" s="2">
        <v>60</v>
      </c>
      <c r="E72" s="2" t="s">
        <v>232</v>
      </c>
      <c r="F72" s="2" t="s">
        <v>237</v>
      </c>
      <c r="G72" s="2" t="s">
        <v>238</v>
      </c>
      <c r="H72" s="2" t="s">
        <v>246</v>
      </c>
      <c r="I72" s="2">
        <v>29</v>
      </c>
      <c r="J72" s="2" t="s">
        <v>305</v>
      </c>
      <c r="K72" s="2" t="s">
        <v>309</v>
      </c>
      <c r="L72" s="2">
        <v>15</v>
      </c>
      <c r="M72" s="2" t="s">
        <v>255</v>
      </c>
      <c r="N72" s="2">
        <v>3</v>
      </c>
      <c r="O72" s="2" t="s">
        <v>313</v>
      </c>
      <c r="P72" s="2" t="s">
        <v>313</v>
      </c>
      <c r="Q72" s="2" t="s">
        <v>314</v>
      </c>
      <c r="R72" s="2" t="s">
        <v>314</v>
      </c>
      <c r="S72" s="2" t="s">
        <v>313</v>
      </c>
      <c r="T72" s="2" t="s">
        <v>311</v>
      </c>
      <c r="U72" s="2" t="s">
        <v>311</v>
      </c>
      <c r="V72" s="2" t="s">
        <v>316</v>
      </c>
      <c r="W72" s="2" t="s">
        <v>316</v>
      </c>
      <c r="X72" s="2" t="s">
        <v>320</v>
      </c>
      <c r="Y72" s="2" t="s">
        <v>316</v>
      </c>
      <c r="Z72" s="2" t="s">
        <v>312</v>
      </c>
      <c r="AA72" s="2" t="s">
        <v>316</v>
      </c>
      <c r="AB72" s="2" t="s">
        <v>323</v>
      </c>
      <c r="AC72" s="2" t="s">
        <v>1102</v>
      </c>
      <c r="AD72" s="2" t="s">
        <v>1105</v>
      </c>
    </row>
    <row r="73" spans="1:30" x14ac:dyDescent="0.3">
      <c r="A73" s="1">
        <v>45698.045219907413</v>
      </c>
      <c r="B73" s="2" t="s">
        <v>102</v>
      </c>
      <c r="C73" s="2" t="s">
        <v>797</v>
      </c>
      <c r="D73" s="2">
        <v>26</v>
      </c>
      <c r="E73" s="2" t="s">
        <v>232</v>
      </c>
      <c r="F73" s="2" t="s">
        <v>233</v>
      </c>
      <c r="G73" s="2" t="s">
        <v>240</v>
      </c>
      <c r="H73" s="2" t="s">
        <v>244</v>
      </c>
      <c r="I73" s="2">
        <v>27</v>
      </c>
      <c r="J73" s="2" t="s">
        <v>295</v>
      </c>
      <c r="K73" s="2" t="s">
        <v>310</v>
      </c>
      <c r="L73" s="2">
        <v>15</v>
      </c>
      <c r="M73" s="2" t="s">
        <v>255</v>
      </c>
      <c r="N73" s="2">
        <v>3</v>
      </c>
      <c r="O73" s="2" t="s">
        <v>312</v>
      </c>
      <c r="P73" s="2" t="s">
        <v>312</v>
      </c>
      <c r="Q73" s="2" t="s">
        <v>313</v>
      </c>
      <c r="R73" s="2" t="s">
        <v>314</v>
      </c>
      <c r="S73" s="2" t="s">
        <v>314</v>
      </c>
      <c r="T73" s="2" t="s">
        <v>313</v>
      </c>
      <c r="U73" s="2" t="s">
        <v>312</v>
      </c>
      <c r="V73" s="2" t="s">
        <v>316</v>
      </c>
      <c r="W73" s="2" t="s">
        <v>316</v>
      </c>
      <c r="X73" s="2" t="s">
        <v>317</v>
      </c>
      <c r="Y73" s="2" t="s">
        <v>316</v>
      </c>
      <c r="Z73" s="2" t="s">
        <v>314</v>
      </c>
      <c r="AA73" s="2" t="s">
        <v>321</v>
      </c>
      <c r="AB73" s="2" t="s">
        <v>325</v>
      </c>
      <c r="AC73" s="2" t="s">
        <v>398</v>
      </c>
      <c r="AD73" s="2" t="s">
        <v>498</v>
      </c>
    </row>
    <row r="74" spans="1:30" hidden="1" x14ac:dyDescent="0.3">
      <c r="A74" s="1">
        <v>45804.782824074071</v>
      </c>
      <c r="B74" s="2" t="s">
        <v>128</v>
      </c>
      <c r="C74" s="2" t="s">
        <v>689</v>
      </c>
      <c r="D74" s="2">
        <v>26</v>
      </c>
      <c r="E74" s="2" t="s">
        <v>231</v>
      </c>
      <c r="F74" s="2" t="s">
        <v>237</v>
      </c>
      <c r="G74" s="2" t="s">
        <v>238</v>
      </c>
      <c r="H74" s="2" t="s">
        <v>245</v>
      </c>
      <c r="I74" s="2">
        <v>28</v>
      </c>
      <c r="J74" s="2" t="s">
        <v>305</v>
      </c>
      <c r="K74" s="2" t="s">
        <v>308</v>
      </c>
      <c r="L74" s="2">
        <v>6</v>
      </c>
      <c r="M74" s="2" t="s">
        <v>243</v>
      </c>
      <c r="N74" s="2">
        <v>3</v>
      </c>
      <c r="O74" s="2" t="s">
        <v>311</v>
      </c>
      <c r="P74" s="2" t="s">
        <v>312</v>
      </c>
      <c r="Q74" s="2" t="s">
        <v>313</v>
      </c>
      <c r="R74" s="2" t="s">
        <v>313</v>
      </c>
      <c r="S74" s="2" t="s">
        <v>312</v>
      </c>
      <c r="T74" s="2" t="s">
        <v>314</v>
      </c>
      <c r="U74" s="2" t="s">
        <v>311</v>
      </c>
      <c r="V74" s="2" t="s">
        <v>316</v>
      </c>
      <c r="W74" s="2" t="s">
        <v>316</v>
      </c>
      <c r="X74" s="2" t="s">
        <v>317</v>
      </c>
      <c r="Y74" s="2" t="s">
        <v>316</v>
      </c>
      <c r="Z74" s="2" t="s">
        <v>314</v>
      </c>
      <c r="AA74" s="2" t="s">
        <v>316</v>
      </c>
      <c r="AB74" s="2" t="s">
        <v>324</v>
      </c>
      <c r="AC74" s="2" t="s">
        <v>424</v>
      </c>
      <c r="AD74" s="2" t="s">
        <v>524</v>
      </c>
    </row>
    <row r="75" spans="1:30" hidden="1" x14ac:dyDescent="0.3">
      <c r="A75" s="2" t="s">
        <v>30</v>
      </c>
      <c r="B75" s="2" t="s">
        <v>557</v>
      </c>
      <c r="C75" s="2" t="s">
        <v>843</v>
      </c>
      <c r="D75" s="2">
        <v>27</v>
      </c>
      <c r="E75" s="2" t="s">
        <v>231</v>
      </c>
      <c r="F75" s="2" t="s">
        <v>237</v>
      </c>
      <c r="G75" s="2" t="s">
        <v>239</v>
      </c>
      <c r="H75" s="2" t="s">
        <v>244</v>
      </c>
      <c r="I75" s="2">
        <v>19</v>
      </c>
      <c r="J75" s="2" t="s">
        <v>1010</v>
      </c>
      <c r="K75" s="2" t="s">
        <v>310</v>
      </c>
      <c r="L75" s="2">
        <v>11</v>
      </c>
      <c r="M75" s="2" t="s">
        <v>243</v>
      </c>
      <c r="N75" s="2">
        <v>1</v>
      </c>
      <c r="O75" s="2" t="s">
        <v>312</v>
      </c>
      <c r="P75" s="2" t="s">
        <v>311</v>
      </c>
      <c r="Q75" s="2" t="s">
        <v>313</v>
      </c>
      <c r="R75" s="2" t="s">
        <v>313</v>
      </c>
      <c r="S75" s="2" t="s">
        <v>313</v>
      </c>
      <c r="T75" s="2" t="s">
        <v>313</v>
      </c>
      <c r="U75" s="2" t="s">
        <v>313</v>
      </c>
      <c r="V75" s="2" t="s">
        <v>316</v>
      </c>
      <c r="W75" s="2" t="s">
        <v>316</v>
      </c>
      <c r="X75" s="2" t="s">
        <v>318</v>
      </c>
      <c r="Y75" s="2" t="s">
        <v>315</v>
      </c>
      <c r="Z75" s="2" t="s">
        <v>314</v>
      </c>
      <c r="AA75" s="2" t="s">
        <v>321</v>
      </c>
      <c r="AB75" s="2" t="s">
        <v>324</v>
      </c>
      <c r="AC75" s="2" t="s">
        <v>1104</v>
      </c>
      <c r="AD75" s="2" t="s">
        <v>1105</v>
      </c>
    </row>
    <row r="76" spans="1:30" x14ac:dyDescent="0.3">
      <c r="A76" s="1">
        <v>45726.4065625</v>
      </c>
      <c r="B76" s="2" t="s">
        <v>99</v>
      </c>
      <c r="C76" s="2" t="s">
        <v>775</v>
      </c>
      <c r="D76" s="2">
        <v>28</v>
      </c>
      <c r="E76" s="2" t="s">
        <v>232</v>
      </c>
      <c r="F76" s="2" t="s">
        <v>235</v>
      </c>
      <c r="G76" s="2" t="s">
        <v>241</v>
      </c>
      <c r="H76" s="2" t="s">
        <v>246</v>
      </c>
      <c r="I76" s="2">
        <v>31</v>
      </c>
      <c r="J76" s="2" t="s">
        <v>293</v>
      </c>
      <c r="K76" s="2" t="s">
        <v>308</v>
      </c>
      <c r="L76" s="2">
        <v>13</v>
      </c>
      <c r="M76" s="2" t="s">
        <v>251</v>
      </c>
      <c r="N76" s="2">
        <v>1</v>
      </c>
      <c r="O76" s="2" t="s">
        <v>313</v>
      </c>
      <c r="P76" s="2" t="s">
        <v>314</v>
      </c>
      <c r="Q76" s="2" t="s">
        <v>313</v>
      </c>
      <c r="R76" s="2" t="s">
        <v>311</v>
      </c>
      <c r="S76" s="2" t="s">
        <v>314</v>
      </c>
      <c r="T76" s="2" t="s">
        <v>311</v>
      </c>
      <c r="U76" s="2" t="s">
        <v>312</v>
      </c>
      <c r="V76" s="2" t="s">
        <v>316</v>
      </c>
      <c r="W76" s="2" t="s">
        <v>316</v>
      </c>
      <c r="X76" s="2" t="s">
        <v>319</v>
      </c>
      <c r="Y76" s="2" t="s">
        <v>316</v>
      </c>
      <c r="Z76" s="2" t="s">
        <v>314</v>
      </c>
      <c r="AA76" s="2" t="s">
        <v>316</v>
      </c>
      <c r="AB76" s="2" t="s">
        <v>326</v>
      </c>
      <c r="AC76" s="2" t="s">
        <v>395</v>
      </c>
      <c r="AD76" s="2" t="s">
        <v>495</v>
      </c>
    </row>
    <row r="77" spans="1:30" x14ac:dyDescent="0.3">
      <c r="A77" s="2" t="s">
        <v>30</v>
      </c>
      <c r="B77" s="2" t="s">
        <v>572</v>
      </c>
      <c r="C77" s="2" t="s">
        <v>746</v>
      </c>
      <c r="D77" s="2">
        <v>30</v>
      </c>
      <c r="E77" s="2" t="s">
        <v>232</v>
      </c>
      <c r="F77" s="2" t="s">
        <v>234</v>
      </c>
      <c r="G77" s="2" t="s">
        <v>240</v>
      </c>
      <c r="H77" s="2" t="s">
        <v>245</v>
      </c>
      <c r="I77" s="2">
        <v>13</v>
      </c>
      <c r="J77" s="2" t="s">
        <v>976</v>
      </c>
      <c r="K77" s="2" t="s">
        <v>310</v>
      </c>
      <c r="L77" s="2">
        <v>3</v>
      </c>
      <c r="M77" s="2" t="s">
        <v>255</v>
      </c>
      <c r="N77" s="2">
        <v>1</v>
      </c>
      <c r="O77" s="2" t="s">
        <v>314</v>
      </c>
      <c r="P77" s="2" t="s">
        <v>312</v>
      </c>
      <c r="Q77" s="2" t="s">
        <v>313</v>
      </c>
      <c r="R77" s="2" t="s">
        <v>311</v>
      </c>
      <c r="S77" s="2" t="s">
        <v>311</v>
      </c>
      <c r="T77" s="2" t="s">
        <v>313</v>
      </c>
      <c r="U77" s="2" t="s">
        <v>313</v>
      </c>
      <c r="V77" s="2" t="s">
        <v>316</v>
      </c>
      <c r="W77" s="2" t="s">
        <v>316</v>
      </c>
      <c r="X77" s="2" t="s">
        <v>320</v>
      </c>
      <c r="Y77" s="2" t="s">
        <v>316</v>
      </c>
      <c r="Z77" s="2" t="s">
        <v>314</v>
      </c>
      <c r="AA77" s="2" t="s">
        <v>315</v>
      </c>
      <c r="AB77" s="2" t="s">
        <v>325</v>
      </c>
      <c r="AC77" s="2" t="s">
        <v>1098</v>
      </c>
      <c r="AD77" s="2" t="s">
        <v>1105</v>
      </c>
    </row>
    <row r="78" spans="1:30" x14ac:dyDescent="0.3">
      <c r="A78" s="2" t="s">
        <v>30</v>
      </c>
      <c r="B78" s="2" t="s">
        <v>619</v>
      </c>
      <c r="C78" s="2" t="s">
        <v>698</v>
      </c>
      <c r="D78" s="2">
        <v>31</v>
      </c>
      <c r="E78" s="2" t="s">
        <v>232</v>
      </c>
      <c r="F78" s="2" t="s">
        <v>233</v>
      </c>
      <c r="G78" s="2" t="s">
        <v>241</v>
      </c>
      <c r="H78" s="2" t="s">
        <v>244</v>
      </c>
      <c r="I78" s="2">
        <v>9</v>
      </c>
      <c r="J78" s="2" t="s">
        <v>1050</v>
      </c>
      <c r="K78" s="2" t="s">
        <v>310</v>
      </c>
      <c r="L78" s="2">
        <v>8</v>
      </c>
      <c r="M78" s="2" t="s">
        <v>249</v>
      </c>
      <c r="N78" s="2">
        <v>3</v>
      </c>
      <c r="O78" s="2" t="s">
        <v>312</v>
      </c>
      <c r="P78" s="2" t="s">
        <v>313</v>
      </c>
      <c r="Q78" s="2" t="s">
        <v>311</v>
      </c>
      <c r="R78" s="2" t="s">
        <v>313</v>
      </c>
      <c r="S78" s="2" t="s">
        <v>311</v>
      </c>
      <c r="T78" s="2" t="s">
        <v>311</v>
      </c>
      <c r="U78" s="2" t="s">
        <v>311</v>
      </c>
      <c r="V78" s="2" t="s">
        <v>316</v>
      </c>
      <c r="W78" s="2" t="s">
        <v>316</v>
      </c>
      <c r="X78" s="2" t="s">
        <v>317</v>
      </c>
      <c r="Y78" s="2" t="s">
        <v>315</v>
      </c>
      <c r="Z78" s="2" t="s">
        <v>314</v>
      </c>
      <c r="AA78" s="2" t="s">
        <v>321</v>
      </c>
      <c r="AB78" s="2" t="s">
        <v>323</v>
      </c>
      <c r="AC78" s="2" t="s">
        <v>1101</v>
      </c>
      <c r="AD78" s="2" t="s">
        <v>1105</v>
      </c>
    </row>
    <row r="79" spans="1:30" x14ac:dyDescent="0.3">
      <c r="A79" s="2" t="s">
        <v>30</v>
      </c>
      <c r="B79" s="2" t="s">
        <v>554</v>
      </c>
      <c r="C79" s="2" t="s">
        <v>706</v>
      </c>
      <c r="D79" s="2">
        <v>34</v>
      </c>
      <c r="E79" s="2" t="s">
        <v>232</v>
      </c>
      <c r="F79" s="2" t="s">
        <v>237</v>
      </c>
      <c r="G79" s="2" t="s">
        <v>239</v>
      </c>
      <c r="H79" s="2" t="s">
        <v>245</v>
      </c>
      <c r="I79" s="2">
        <v>27</v>
      </c>
      <c r="J79" s="2" t="s">
        <v>968</v>
      </c>
      <c r="K79" s="2" t="s">
        <v>309</v>
      </c>
      <c r="L79" s="2">
        <v>2</v>
      </c>
      <c r="M79" s="2" t="s">
        <v>249</v>
      </c>
      <c r="N79" s="2">
        <v>3</v>
      </c>
      <c r="O79" s="2" t="s">
        <v>311</v>
      </c>
      <c r="P79" s="2" t="s">
        <v>313</v>
      </c>
      <c r="Q79" s="2" t="s">
        <v>312</v>
      </c>
      <c r="R79" s="2" t="s">
        <v>314</v>
      </c>
      <c r="S79" s="2" t="s">
        <v>311</v>
      </c>
      <c r="T79" s="2" t="s">
        <v>313</v>
      </c>
      <c r="U79" s="2" t="s">
        <v>313</v>
      </c>
      <c r="V79" s="2" t="s">
        <v>316</v>
      </c>
      <c r="W79" s="2" t="s">
        <v>316</v>
      </c>
      <c r="X79" s="2" t="s">
        <v>319</v>
      </c>
      <c r="Y79" s="2" t="s">
        <v>316</v>
      </c>
      <c r="Z79" s="2" t="s">
        <v>314</v>
      </c>
      <c r="AA79" s="2" t="s">
        <v>316</v>
      </c>
      <c r="AB79" s="2" t="s">
        <v>326</v>
      </c>
      <c r="AC79" s="2" t="s">
        <v>1104</v>
      </c>
      <c r="AD79" s="2" t="s">
        <v>1105</v>
      </c>
    </row>
    <row r="80" spans="1:30" x14ac:dyDescent="0.3">
      <c r="A80" s="2" t="s">
        <v>30</v>
      </c>
      <c r="B80" s="2" t="s">
        <v>598</v>
      </c>
      <c r="C80" s="2" t="s">
        <v>700</v>
      </c>
      <c r="D80" s="2">
        <v>39</v>
      </c>
      <c r="E80" s="2" t="s">
        <v>232</v>
      </c>
      <c r="F80" s="2" t="s">
        <v>234</v>
      </c>
      <c r="G80" s="2" t="s">
        <v>242</v>
      </c>
      <c r="H80" s="2" t="s">
        <v>246</v>
      </c>
      <c r="I80" s="2">
        <v>24</v>
      </c>
      <c r="J80" s="2" t="s">
        <v>961</v>
      </c>
      <c r="K80" s="2" t="s">
        <v>310</v>
      </c>
      <c r="L80" s="2">
        <v>15</v>
      </c>
      <c r="M80" s="2" t="s">
        <v>249</v>
      </c>
      <c r="N80" s="2">
        <v>2</v>
      </c>
      <c r="O80" s="2" t="s">
        <v>312</v>
      </c>
      <c r="P80" s="2" t="s">
        <v>311</v>
      </c>
      <c r="Q80" s="2" t="s">
        <v>313</v>
      </c>
      <c r="R80" s="2" t="s">
        <v>311</v>
      </c>
      <c r="S80" s="2" t="s">
        <v>311</v>
      </c>
      <c r="T80" s="2" t="s">
        <v>311</v>
      </c>
      <c r="U80" s="2" t="s">
        <v>311</v>
      </c>
      <c r="V80" s="2" t="s">
        <v>316</v>
      </c>
      <c r="W80" s="2" t="s">
        <v>316</v>
      </c>
      <c r="X80" s="2" t="s">
        <v>318</v>
      </c>
      <c r="Y80" s="2" t="s">
        <v>315</v>
      </c>
      <c r="Z80" s="2" t="s">
        <v>314</v>
      </c>
      <c r="AA80" s="2" t="s">
        <v>321</v>
      </c>
      <c r="AB80" s="2" t="s">
        <v>323</v>
      </c>
      <c r="AC80" s="2" t="s">
        <v>1104</v>
      </c>
      <c r="AD80" s="2" t="s">
        <v>1105</v>
      </c>
    </row>
    <row r="81" spans="1:30" x14ac:dyDescent="0.3">
      <c r="A81" s="2" t="s">
        <v>30</v>
      </c>
      <c r="B81" s="2" t="s">
        <v>630</v>
      </c>
      <c r="C81" s="2" t="s">
        <v>146</v>
      </c>
      <c r="D81" s="2">
        <v>40</v>
      </c>
      <c r="E81" s="2" t="s">
        <v>232</v>
      </c>
      <c r="F81" s="2" t="s">
        <v>237</v>
      </c>
      <c r="G81" s="2" t="s">
        <v>239</v>
      </c>
      <c r="H81" s="2" t="s">
        <v>246</v>
      </c>
      <c r="I81" s="2">
        <v>15</v>
      </c>
      <c r="J81" s="2" t="s">
        <v>1010</v>
      </c>
      <c r="K81" s="2" t="s">
        <v>310</v>
      </c>
      <c r="L81" s="2">
        <v>20</v>
      </c>
      <c r="M81" s="2" t="s">
        <v>275</v>
      </c>
      <c r="N81" s="2">
        <v>1</v>
      </c>
      <c r="O81" s="2" t="s">
        <v>312</v>
      </c>
      <c r="P81" s="2" t="s">
        <v>312</v>
      </c>
      <c r="Q81" s="2" t="s">
        <v>312</v>
      </c>
      <c r="R81" s="2" t="s">
        <v>314</v>
      </c>
      <c r="S81" s="2" t="s">
        <v>312</v>
      </c>
      <c r="T81" s="2" t="s">
        <v>312</v>
      </c>
      <c r="U81" s="2" t="s">
        <v>312</v>
      </c>
      <c r="V81" s="2" t="s">
        <v>316</v>
      </c>
      <c r="W81" s="2" t="s">
        <v>316</v>
      </c>
      <c r="X81" s="2" t="s">
        <v>320</v>
      </c>
      <c r="Y81" s="2" t="s">
        <v>315</v>
      </c>
      <c r="Z81" s="2" t="s">
        <v>314</v>
      </c>
      <c r="AA81" s="2" t="s">
        <v>1095</v>
      </c>
      <c r="AB81" s="2" t="s">
        <v>326</v>
      </c>
      <c r="AC81" s="2" t="s">
        <v>1101</v>
      </c>
      <c r="AD81" s="2" t="s">
        <v>1105</v>
      </c>
    </row>
    <row r="82" spans="1:30" hidden="1" x14ac:dyDescent="0.3">
      <c r="A82" s="2" t="s">
        <v>30</v>
      </c>
      <c r="B82" s="2" t="s">
        <v>637</v>
      </c>
      <c r="C82" s="2" t="s">
        <v>771</v>
      </c>
      <c r="D82" s="2">
        <v>41</v>
      </c>
      <c r="E82" s="2" t="s">
        <v>231</v>
      </c>
      <c r="F82" s="2" t="s">
        <v>236</v>
      </c>
      <c r="G82" s="2" t="s">
        <v>239</v>
      </c>
      <c r="H82" s="2" t="s">
        <v>245</v>
      </c>
      <c r="I82" s="2">
        <v>16</v>
      </c>
      <c r="J82" s="2" t="s">
        <v>294</v>
      </c>
      <c r="K82" s="2" t="s">
        <v>308</v>
      </c>
      <c r="L82" s="2">
        <v>15</v>
      </c>
      <c r="M82" s="2" t="s">
        <v>241</v>
      </c>
      <c r="N82" s="2">
        <v>3</v>
      </c>
      <c r="O82" s="2" t="s">
        <v>311</v>
      </c>
      <c r="P82" s="2" t="s">
        <v>313</v>
      </c>
      <c r="Q82" s="2" t="s">
        <v>313</v>
      </c>
      <c r="R82" s="2" t="s">
        <v>312</v>
      </c>
      <c r="S82" s="2" t="s">
        <v>312</v>
      </c>
      <c r="T82" s="2" t="s">
        <v>313</v>
      </c>
      <c r="U82" s="2" t="s">
        <v>313</v>
      </c>
      <c r="V82" s="2" t="s">
        <v>316</v>
      </c>
      <c r="W82" s="2" t="s">
        <v>316</v>
      </c>
      <c r="X82" s="2" t="s">
        <v>319</v>
      </c>
      <c r="Y82" s="2" t="s">
        <v>316</v>
      </c>
      <c r="Z82" s="2" t="s">
        <v>314</v>
      </c>
      <c r="AA82" s="2" t="s">
        <v>1095</v>
      </c>
      <c r="AB82" s="2" t="s">
        <v>323</v>
      </c>
      <c r="AC82" s="2" t="s">
        <v>1099</v>
      </c>
      <c r="AD82" s="2" t="s">
        <v>1105</v>
      </c>
    </row>
    <row r="83" spans="1:30" x14ac:dyDescent="0.3">
      <c r="A83" s="2" t="s">
        <v>30</v>
      </c>
      <c r="B83" s="2" t="s">
        <v>585</v>
      </c>
      <c r="C83" s="2" t="s">
        <v>886</v>
      </c>
      <c r="D83" s="2">
        <v>43</v>
      </c>
      <c r="E83" s="2" t="s">
        <v>232</v>
      </c>
      <c r="F83" s="2" t="s">
        <v>235</v>
      </c>
      <c r="G83" s="2" t="s">
        <v>240</v>
      </c>
      <c r="H83" s="2" t="s">
        <v>244</v>
      </c>
      <c r="I83" s="2">
        <v>13</v>
      </c>
      <c r="J83" s="2" t="s">
        <v>259</v>
      </c>
      <c r="K83" s="2" t="s">
        <v>308</v>
      </c>
      <c r="L83" s="2">
        <v>6</v>
      </c>
      <c r="M83" s="2" t="s">
        <v>243</v>
      </c>
      <c r="N83" s="2">
        <v>0</v>
      </c>
      <c r="O83" s="2" t="s">
        <v>313</v>
      </c>
      <c r="P83" s="2" t="s">
        <v>311</v>
      </c>
      <c r="Q83" s="2" t="s">
        <v>314</v>
      </c>
      <c r="R83" s="2" t="s">
        <v>311</v>
      </c>
      <c r="S83" s="2" t="s">
        <v>313</v>
      </c>
      <c r="T83" s="2" t="s">
        <v>313</v>
      </c>
      <c r="U83" s="2" t="s">
        <v>313</v>
      </c>
      <c r="V83" s="2" t="s">
        <v>316</v>
      </c>
      <c r="W83" s="2" t="s">
        <v>316</v>
      </c>
      <c r="X83" s="2" t="s">
        <v>319</v>
      </c>
      <c r="Y83" s="2" t="s">
        <v>315</v>
      </c>
      <c r="Z83" s="2" t="s">
        <v>314</v>
      </c>
      <c r="AA83" s="2" t="s">
        <v>315</v>
      </c>
      <c r="AB83" s="2" t="s">
        <v>323</v>
      </c>
      <c r="AC83" s="2" t="s">
        <v>1099</v>
      </c>
      <c r="AD83" s="2" t="s">
        <v>1105</v>
      </c>
    </row>
    <row r="84" spans="1:30" hidden="1" x14ac:dyDescent="0.3">
      <c r="A84" s="1">
        <v>45749.442384259259</v>
      </c>
      <c r="B84" s="2" t="s">
        <v>65</v>
      </c>
      <c r="C84" s="2" t="s">
        <v>715</v>
      </c>
      <c r="D84" s="2">
        <v>49</v>
      </c>
      <c r="E84" s="2" t="s">
        <v>231</v>
      </c>
      <c r="F84" s="2" t="s">
        <v>234</v>
      </c>
      <c r="G84" s="2" t="s">
        <v>240</v>
      </c>
      <c r="H84" s="2" t="s">
        <v>244</v>
      </c>
      <c r="I84" s="2">
        <v>9</v>
      </c>
      <c r="J84" s="2" t="s">
        <v>269</v>
      </c>
      <c r="K84" s="2" t="s">
        <v>309</v>
      </c>
      <c r="L84" s="2">
        <v>3</v>
      </c>
      <c r="M84" s="2" t="s">
        <v>275</v>
      </c>
      <c r="N84" s="2">
        <v>0</v>
      </c>
      <c r="O84" s="2" t="s">
        <v>311</v>
      </c>
      <c r="P84" s="2" t="s">
        <v>312</v>
      </c>
      <c r="Q84" s="2" t="s">
        <v>314</v>
      </c>
      <c r="R84" s="2" t="s">
        <v>312</v>
      </c>
      <c r="S84" s="2" t="s">
        <v>311</v>
      </c>
      <c r="T84" s="2" t="s">
        <v>314</v>
      </c>
      <c r="U84" s="2" t="s">
        <v>313</v>
      </c>
      <c r="V84" s="2" t="s">
        <v>316</v>
      </c>
      <c r="W84" s="2" t="s">
        <v>316</v>
      </c>
      <c r="X84" s="2" t="s">
        <v>319</v>
      </c>
      <c r="Y84" s="2" t="s">
        <v>316</v>
      </c>
      <c r="Z84" s="2" t="s">
        <v>314</v>
      </c>
      <c r="AA84" s="2" t="s">
        <v>322</v>
      </c>
      <c r="AB84" s="2" t="s">
        <v>323</v>
      </c>
      <c r="AC84" s="2" t="s">
        <v>361</v>
      </c>
      <c r="AD84" s="2" t="s">
        <v>461</v>
      </c>
    </row>
    <row r="85" spans="1:30" x14ac:dyDescent="0.3">
      <c r="A85" s="2" t="s">
        <v>30</v>
      </c>
      <c r="B85" s="2" t="s">
        <v>537</v>
      </c>
      <c r="C85" s="2" t="s">
        <v>210</v>
      </c>
      <c r="D85" s="2">
        <v>49</v>
      </c>
      <c r="E85" s="2" t="s">
        <v>232</v>
      </c>
      <c r="F85" s="2" t="s">
        <v>235</v>
      </c>
      <c r="G85" s="2" t="s">
        <v>240</v>
      </c>
      <c r="H85" s="2" t="s">
        <v>244</v>
      </c>
      <c r="I85" s="2">
        <v>21</v>
      </c>
      <c r="J85" s="2" t="s">
        <v>1008</v>
      </c>
      <c r="K85" s="2" t="s">
        <v>309</v>
      </c>
      <c r="L85" s="2">
        <v>15</v>
      </c>
      <c r="M85" s="2" t="s">
        <v>275</v>
      </c>
      <c r="N85" s="2">
        <v>3</v>
      </c>
      <c r="O85" s="2" t="s">
        <v>314</v>
      </c>
      <c r="P85" s="2" t="s">
        <v>313</v>
      </c>
      <c r="Q85" s="2" t="s">
        <v>311</v>
      </c>
      <c r="R85" s="2" t="s">
        <v>314</v>
      </c>
      <c r="S85" s="2" t="s">
        <v>311</v>
      </c>
      <c r="T85" s="2" t="s">
        <v>313</v>
      </c>
      <c r="U85" s="2" t="s">
        <v>313</v>
      </c>
      <c r="V85" s="2" t="s">
        <v>316</v>
      </c>
      <c r="W85" s="2" t="s">
        <v>316</v>
      </c>
      <c r="X85" s="2" t="s">
        <v>320</v>
      </c>
      <c r="Y85" s="2" t="s">
        <v>315</v>
      </c>
      <c r="Z85" s="2" t="s">
        <v>314</v>
      </c>
      <c r="AA85" s="2" t="s">
        <v>321</v>
      </c>
      <c r="AB85" s="2" t="s">
        <v>326</v>
      </c>
      <c r="AC85" s="2" t="s">
        <v>1098</v>
      </c>
      <c r="AD85" s="2" t="s">
        <v>1105</v>
      </c>
    </row>
    <row r="86" spans="1:30" x14ac:dyDescent="0.3">
      <c r="A86" s="2" t="s">
        <v>30</v>
      </c>
      <c r="B86" s="2" t="s">
        <v>592</v>
      </c>
      <c r="C86" s="2" t="s">
        <v>718</v>
      </c>
      <c r="D86" s="2">
        <v>49</v>
      </c>
      <c r="E86" s="2" t="s">
        <v>232</v>
      </c>
      <c r="F86" s="2" t="s">
        <v>234</v>
      </c>
      <c r="G86" s="2" t="s">
        <v>240</v>
      </c>
      <c r="H86" s="2" t="s">
        <v>245</v>
      </c>
      <c r="I86" s="2">
        <v>27</v>
      </c>
      <c r="J86" s="2" t="s">
        <v>262</v>
      </c>
      <c r="K86" s="2" t="s">
        <v>309</v>
      </c>
      <c r="L86" s="2">
        <v>10</v>
      </c>
      <c r="M86" s="2" t="s">
        <v>255</v>
      </c>
      <c r="N86" s="2">
        <v>1</v>
      </c>
      <c r="O86" s="2" t="s">
        <v>312</v>
      </c>
      <c r="P86" s="2" t="s">
        <v>312</v>
      </c>
      <c r="Q86" s="2" t="s">
        <v>313</v>
      </c>
      <c r="R86" s="2" t="s">
        <v>314</v>
      </c>
      <c r="S86" s="2" t="s">
        <v>311</v>
      </c>
      <c r="T86" s="2" t="s">
        <v>313</v>
      </c>
      <c r="U86" s="2" t="s">
        <v>313</v>
      </c>
      <c r="V86" s="2" t="s">
        <v>316</v>
      </c>
      <c r="W86" s="2" t="s">
        <v>316</v>
      </c>
      <c r="X86" s="2" t="s">
        <v>319</v>
      </c>
      <c r="Y86" s="2" t="s">
        <v>316</v>
      </c>
      <c r="Z86" s="2" t="s">
        <v>314</v>
      </c>
      <c r="AA86" s="2" t="s">
        <v>321</v>
      </c>
      <c r="AB86" s="2" t="s">
        <v>325</v>
      </c>
      <c r="AC86" s="2" t="s">
        <v>1104</v>
      </c>
      <c r="AD86" s="2" t="s">
        <v>1105</v>
      </c>
    </row>
    <row r="87" spans="1:30" x14ac:dyDescent="0.3">
      <c r="A87" s="1">
        <v>45701.572476851848</v>
      </c>
      <c r="B87" s="2" t="s">
        <v>54</v>
      </c>
      <c r="C87" s="2" t="s">
        <v>691</v>
      </c>
      <c r="D87" s="2">
        <v>51</v>
      </c>
      <c r="E87" s="2" t="s">
        <v>232</v>
      </c>
      <c r="F87" s="2" t="s">
        <v>236</v>
      </c>
      <c r="G87" s="2" t="s">
        <v>240</v>
      </c>
      <c r="H87" s="2" t="s">
        <v>245</v>
      </c>
      <c r="I87" s="2">
        <v>30</v>
      </c>
      <c r="J87" s="2" t="s">
        <v>263</v>
      </c>
      <c r="K87" s="2" t="s">
        <v>310</v>
      </c>
      <c r="L87" s="2">
        <v>16</v>
      </c>
      <c r="M87" s="2" t="s">
        <v>249</v>
      </c>
      <c r="N87" s="2">
        <v>1</v>
      </c>
      <c r="O87" s="2" t="s">
        <v>314</v>
      </c>
      <c r="P87" s="2" t="s">
        <v>314</v>
      </c>
      <c r="Q87" s="2" t="s">
        <v>314</v>
      </c>
      <c r="R87" s="2" t="s">
        <v>313</v>
      </c>
      <c r="S87" s="2" t="s">
        <v>313</v>
      </c>
      <c r="T87" s="2" t="s">
        <v>312</v>
      </c>
      <c r="U87" s="2" t="s">
        <v>311</v>
      </c>
      <c r="V87" s="2" t="s">
        <v>316</v>
      </c>
      <c r="W87" s="2" t="s">
        <v>316</v>
      </c>
      <c r="X87" s="2" t="s">
        <v>318</v>
      </c>
      <c r="Y87" s="2" t="s">
        <v>316</v>
      </c>
      <c r="Z87" s="2" t="s">
        <v>314</v>
      </c>
      <c r="AA87" s="2" t="s">
        <v>322</v>
      </c>
      <c r="AB87" s="2" t="s">
        <v>324</v>
      </c>
      <c r="AC87" s="2" t="s">
        <v>350</v>
      </c>
      <c r="AD87" s="2" t="s">
        <v>450</v>
      </c>
    </row>
    <row r="88" spans="1:30" hidden="1" x14ac:dyDescent="0.3">
      <c r="A88" s="1">
        <v>45800.427916666667</v>
      </c>
      <c r="B88" s="2" t="s">
        <v>39</v>
      </c>
      <c r="C88" s="2" t="s">
        <v>170</v>
      </c>
      <c r="D88" s="2">
        <v>53</v>
      </c>
      <c r="E88" s="2" t="s">
        <v>231</v>
      </c>
      <c r="F88" s="2" t="s">
        <v>236</v>
      </c>
      <c r="G88" s="2" t="s">
        <v>242</v>
      </c>
      <c r="H88" s="2" t="s">
        <v>246</v>
      </c>
      <c r="I88" s="2">
        <v>35</v>
      </c>
      <c r="J88" s="2" t="s">
        <v>241</v>
      </c>
      <c r="K88" s="2" t="s">
        <v>308</v>
      </c>
      <c r="L88" s="2">
        <v>5</v>
      </c>
      <c r="M88" s="2" t="s">
        <v>262</v>
      </c>
      <c r="N88" s="2">
        <v>0</v>
      </c>
      <c r="O88" s="2" t="s">
        <v>314</v>
      </c>
      <c r="P88" s="2" t="s">
        <v>312</v>
      </c>
      <c r="Q88" s="2" t="s">
        <v>314</v>
      </c>
      <c r="R88" s="2" t="s">
        <v>311</v>
      </c>
      <c r="S88" s="2" t="s">
        <v>312</v>
      </c>
      <c r="T88" s="2" t="s">
        <v>314</v>
      </c>
      <c r="U88" s="2" t="s">
        <v>311</v>
      </c>
      <c r="V88" s="2" t="s">
        <v>316</v>
      </c>
      <c r="W88" s="2" t="s">
        <v>316</v>
      </c>
      <c r="X88" s="2" t="s">
        <v>320</v>
      </c>
      <c r="Y88" s="2" t="s">
        <v>316</v>
      </c>
      <c r="Z88" s="2" t="s">
        <v>314</v>
      </c>
      <c r="AA88" s="2" t="s">
        <v>316</v>
      </c>
      <c r="AB88" s="2" t="s">
        <v>323</v>
      </c>
      <c r="AC88" s="2" t="s">
        <v>335</v>
      </c>
      <c r="AD88" s="2" t="s">
        <v>435</v>
      </c>
    </row>
    <row r="89" spans="1:30" hidden="1" x14ac:dyDescent="0.3">
      <c r="A89" s="2" t="s">
        <v>30</v>
      </c>
      <c r="B89" s="2" t="s">
        <v>578</v>
      </c>
      <c r="C89" s="2" t="s">
        <v>841</v>
      </c>
      <c r="D89" s="2">
        <v>53</v>
      </c>
      <c r="E89" s="2" t="s">
        <v>231</v>
      </c>
      <c r="F89" s="2" t="s">
        <v>234</v>
      </c>
      <c r="G89" s="2" t="s">
        <v>239</v>
      </c>
      <c r="H89" s="2" t="s">
        <v>244</v>
      </c>
      <c r="I89" s="2">
        <v>27</v>
      </c>
      <c r="J89" s="2" t="s">
        <v>262</v>
      </c>
      <c r="K89" s="2" t="s">
        <v>308</v>
      </c>
      <c r="L89" s="2">
        <v>10</v>
      </c>
      <c r="M89" s="2" t="s">
        <v>262</v>
      </c>
      <c r="N89" s="2">
        <v>1</v>
      </c>
      <c r="O89" s="2" t="s">
        <v>314</v>
      </c>
      <c r="P89" s="2" t="s">
        <v>311</v>
      </c>
      <c r="Q89" s="2" t="s">
        <v>312</v>
      </c>
      <c r="R89" s="2" t="s">
        <v>312</v>
      </c>
      <c r="S89" s="2" t="s">
        <v>314</v>
      </c>
      <c r="T89" s="2" t="s">
        <v>313</v>
      </c>
      <c r="U89" s="2" t="s">
        <v>313</v>
      </c>
      <c r="V89" s="2" t="s">
        <v>316</v>
      </c>
      <c r="W89" s="2" t="s">
        <v>316</v>
      </c>
      <c r="X89" s="2" t="s">
        <v>320</v>
      </c>
      <c r="Y89" s="2" t="s">
        <v>315</v>
      </c>
      <c r="Z89" s="2" t="s">
        <v>314</v>
      </c>
      <c r="AA89" s="2" t="s">
        <v>316</v>
      </c>
      <c r="AB89" s="2" t="s">
        <v>323</v>
      </c>
      <c r="AC89" s="2" t="s">
        <v>1101</v>
      </c>
      <c r="AD89" s="2" t="s">
        <v>1105</v>
      </c>
    </row>
    <row r="90" spans="1:30" hidden="1" x14ac:dyDescent="0.3">
      <c r="A90" s="2" t="s">
        <v>30</v>
      </c>
      <c r="B90" s="2" t="s">
        <v>559</v>
      </c>
      <c r="C90" s="2" t="s">
        <v>785</v>
      </c>
      <c r="D90" s="2">
        <v>53</v>
      </c>
      <c r="E90" s="2" t="s">
        <v>231</v>
      </c>
      <c r="F90" s="2" t="s">
        <v>237</v>
      </c>
      <c r="G90" s="2" t="s">
        <v>242</v>
      </c>
      <c r="H90" s="2" t="s">
        <v>246</v>
      </c>
      <c r="I90" s="2">
        <v>13</v>
      </c>
      <c r="J90" s="2" t="s">
        <v>241</v>
      </c>
      <c r="K90" s="2" t="s">
        <v>308</v>
      </c>
      <c r="L90" s="2">
        <v>5</v>
      </c>
      <c r="M90" s="2" t="s">
        <v>275</v>
      </c>
      <c r="N90" s="2">
        <v>2</v>
      </c>
      <c r="O90" s="2" t="s">
        <v>311</v>
      </c>
      <c r="P90" s="2" t="s">
        <v>314</v>
      </c>
      <c r="Q90" s="2" t="s">
        <v>314</v>
      </c>
      <c r="R90" s="2" t="s">
        <v>312</v>
      </c>
      <c r="S90" s="2" t="s">
        <v>312</v>
      </c>
      <c r="T90" s="2" t="s">
        <v>312</v>
      </c>
      <c r="U90" s="2" t="s">
        <v>312</v>
      </c>
      <c r="V90" s="2" t="s">
        <v>316</v>
      </c>
      <c r="W90" s="2" t="s">
        <v>316</v>
      </c>
      <c r="X90" s="2" t="s">
        <v>317</v>
      </c>
      <c r="Y90" s="2" t="s">
        <v>316</v>
      </c>
      <c r="Z90" s="2" t="s">
        <v>314</v>
      </c>
      <c r="AA90" s="2" t="s">
        <v>1095</v>
      </c>
      <c r="AB90" s="2" t="s">
        <v>324</v>
      </c>
      <c r="AC90" s="2" t="s">
        <v>1099</v>
      </c>
      <c r="AD90" s="2" t="s">
        <v>1105</v>
      </c>
    </row>
    <row r="91" spans="1:30" x14ac:dyDescent="0.3">
      <c r="A91" s="1">
        <v>45711.511643518519</v>
      </c>
      <c r="B91" s="2" t="s">
        <v>106</v>
      </c>
      <c r="C91" s="2" t="s">
        <v>948</v>
      </c>
      <c r="D91" s="2">
        <v>59</v>
      </c>
      <c r="E91" s="2" t="s">
        <v>232</v>
      </c>
      <c r="F91" s="2" t="s">
        <v>235</v>
      </c>
      <c r="G91" s="2" t="s">
        <v>238</v>
      </c>
      <c r="H91" s="2" t="s">
        <v>246</v>
      </c>
      <c r="I91" s="2">
        <v>30</v>
      </c>
      <c r="J91" s="2" t="s">
        <v>297</v>
      </c>
      <c r="K91" s="2" t="s">
        <v>309</v>
      </c>
      <c r="L91" s="2">
        <v>5</v>
      </c>
      <c r="M91" s="2" t="s">
        <v>249</v>
      </c>
      <c r="N91" s="2">
        <v>0</v>
      </c>
      <c r="O91" s="2" t="s">
        <v>313</v>
      </c>
      <c r="P91" s="2" t="s">
        <v>312</v>
      </c>
      <c r="Q91" s="2" t="s">
        <v>311</v>
      </c>
      <c r="R91" s="2" t="s">
        <v>313</v>
      </c>
      <c r="S91" s="2" t="s">
        <v>313</v>
      </c>
      <c r="T91" s="2" t="s">
        <v>312</v>
      </c>
      <c r="U91" s="2" t="s">
        <v>312</v>
      </c>
      <c r="V91" s="2" t="s">
        <v>316</v>
      </c>
      <c r="W91" s="2" t="s">
        <v>316</v>
      </c>
      <c r="X91" s="2" t="s">
        <v>317</v>
      </c>
      <c r="Y91" s="2" t="s">
        <v>315</v>
      </c>
      <c r="Z91" s="2" t="s">
        <v>314</v>
      </c>
      <c r="AA91" s="2" t="s">
        <v>316</v>
      </c>
      <c r="AB91" s="2" t="s">
        <v>324</v>
      </c>
      <c r="AC91" s="2" t="s">
        <v>402</v>
      </c>
      <c r="AD91" s="2" t="s">
        <v>502</v>
      </c>
    </row>
    <row r="92" spans="1:30" hidden="1" x14ac:dyDescent="0.3">
      <c r="A92" s="1">
        <v>45728.005844907413</v>
      </c>
      <c r="B92" s="2" t="s">
        <v>61</v>
      </c>
      <c r="C92" s="2" t="s">
        <v>859</v>
      </c>
      <c r="D92" s="2">
        <v>27</v>
      </c>
      <c r="E92" s="2" t="s">
        <v>231</v>
      </c>
      <c r="F92" s="2" t="s">
        <v>235</v>
      </c>
      <c r="G92" s="2" t="s">
        <v>241</v>
      </c>
      <c r="H92" s="2" t="s">
        <v>246</v>
      </c>
      <c r="I92" s="2">
        <v>29</v>
      </c>
      <c r="J92" s="2" t="s">
        <v>267</v>
      </c>
      <c r="K92" s="2" t="s">
        <v>309</v>
      </c>
      <c r="L92" s="2">
        <v>20</v>
      </c>
      <c r="M92" s="2" t="s">
        <v>255</v>
      </c>
      <c r="N92" s="2">
        <v>0</v>
      </c>
      <c r="O92" s="2" t="s">
        <v>311</v>
      </c>
      <c r="P92" s="2" t="s">
        <v>314</v>
      </c>
      <c r="Q92" s="2" t="s">
        <v>313</v>
      </c>
      <c r="R92" s="2" t="s">
        <v>314</v>
      </c>
      <c r="S92" s="2" t="s">
        <v>313</v>
      </c>
      <c r="T92" s="2" t="s">
        <v>313</v>
      </c>
      <c r="U92" s="2" t="s">
        <v>311</v>
      </c>
      <c r="V92" s="2" t="s">
        <v>315</v>
      </c>
      <c r="W92" s="2" t="s">
        <v>316</v>
      </c>
      <c r="X92" s="2" t="s">
        <v>320</v>
      </c>
      <c r="Y92" s="2" t="s">
        <v>316</v>
      </c>
      <c r="Z92" s="2" t="s">
        <v>313</v>
      </c>
      <c r="AA92" s="2" t="s">
        <v>316</v>
      </c>
      <c r="AB92" s="2" t="s">
        <v>323</v>
      </c>
      <c r="AC92" s="2" t="s">
        <v>357</v>
      </c>
      <c r="AD92" s="2" t="s">
        <v>457</v>
      </c>
    </row>
    <row r="93" spans="1:30" x14ac:dyDescent="0.3">
      <c r="A93" s="2" t="s">
        <v>30</v>
      </c>
      <c r="B93" s="2" t="s">
        <v>535</v>
      </c>
      <c r="C93" s="2" t="s">
        <v>134</v>
      </c>
      <c r="D93" s="2">
        <v>27</v>
      </c>
      <c r="E93" s="2" t="s">
        <v>232</v>
      </c>
      <c r="F93" s="2" t="s">
        <v>233</v>
      </c>
      <c r="G93" s="2" t="s">
        <v>241</v>
      </c>
      <c r="H93" s="2" t="s">
        <v>245</v>
      </c>
      <c r="I93" s="2">
        <v>23</v>
      </c>
      <c r="J93" s="2" t="s">
        <v>974</v>
      </c>
      <c r="K93" s="2" t="s">
        <v>309</v>
      </c>
      <c r="L93" s="2">
        <v>19</v>
      </c>
      <c r="M93" s="2" t="s">
        <v>262</v>
      </c>
      <c r="N93" s="2">
        <v>2</v>
      </c>
      <c r="O93" s="2" t="s">
        <v>312</v>
      </c>
      <c r="P93" s="2" t="s">
        <v>313</v>
      </c>
      <c r="Q93" s="2" t="s">
        <v>313</v>
      </c>
      <c r="R93" s="2" t="s">
        <v>314</v>
      </c>
      <c r="S93" s="2" t="s">
        <v>312</v>
      </c>
      <c r="T93" s="2" t="s">
        <v>313</v>
      </c>
      <c r="U93" s="2" t="s">
        <v>313</v>
      </c>
      <c r="V93" s="2" t="s">
        <v>315</v>
      </c>
      <c r="W93" s="2" t="s">
        <v>316</v>
      </c>
      <c r="X93" s="2" t="s">
        <v>319</v>
      </c>
      <c r="Y93" s="2" t="s">
        <v>316</v>
      </c>
      <c r="Z93" s="2" t="s">
        <v>313</v>
      </c>
      <c r="AA93" s="2" t="s">
        <v>315</v>
      </c>
      <c r="AB93" s="2" t="s">
        <v>324</v>
      </c>
      <c r="AC93" s="2" t="s">
        <v>1099</v>
      </c>
      <c r="AD93" s="2" t="s">
        <v>1105</v>
      </c>
    </row>
    <row r="94" spans="1:30" x14ac:dyDescent="0.3">
      <c r="A94" s="2" t="s">
        <v>30</v>
      </c>
      <c r="B94" s="2" t="s">
        <v>604</v>
      </c>
      <c r="C94" s="2" t="s">
        <v>890</v>
      </c>
      <c r="D94" s="2">
        <v>27</v>
      </c>
      <c r="E94" s="2" t="s">
        <v>232</v>
      </c>
      <c r="F94" s="2" t="s">
        <v>234</v>
      </c>
      <c r="G94" s="2" t="s">
        <v>243</v>
      </c>
      <c r="H94" s="2" t="s">
        <v>244</v>
      </c>
      <c r="I94" s="2">
        <v>8</v>
      </c>
      <c r="J94" s="2" t="s">
        <v>1012</v>
      </c>
      <c r="K94" s="2" t="s">
        <v>310</v>
      </c>
      <c r="L94" s="2">
        <v>6</v>
      </c>
      <c r="M94" s="2" t="s">
        <v>241</v>
      </c>
      <c r="N94" s="2">
        <v>2</v>
      </c>
      <c r="O94" s="2" t="s">
        <v>312</v>
      </c>
      <c r="P94" s="2" t="s">
        <v>311</v>
      </c>
      <c r="Q94" s="2" t="s">
        <v>313</v>
      </c>
      <c r="R94" s="2" t="s">
        <v>314</v>
      </c>
      <c r="S94" s="2" t="s">
        <v>312</v>
      </c>
      <c r="T94" s="2" t="s">
        <v>311</v>
      </c>
      <c r="U94" s="2" t="s">
        <v>311</v>
      </c>
      <c r="V94" s="2" t="s">
        <v>315</v>
      </c>
      <c r="W94" s="2" t="s">
        <v>316</v>
      </c>
      <c r="X94" s="2" t="s">
        <v>319</v>
      </c>
      <c r="Y94" s="2" t="s">
        <v>316</v>
      </c>
      <c r="Z94" s="2" t="s">
        <v>313</v>
      </c>
      <c r="AA94" s="2" t="s">
        <v>316</v>
      </c>
      <c r="AB94" s="2" t="s">
        <v>325</v>
      </c>
      <c r="AC94" s="2" t="s">
        <v>1097</v>
      </c>
      <c r="AD94" s="2" t="s">
        <v>1105</v>
      </c>
    </row>
    <row r="95" spans="1:30" x14ac:dyDescent="0.3">
      <c r="A95" s="2" t="s">
        <v>30</v>
      </c>
      <c r="B95" s="2" t="s">
        <v>538</v>
      </c>
      <c r="C95" s="2" t="s">
        <v>739</v>
      </c>
      <c r="D95" s="2">
        <v>31</v>
      </c>
      <c r="E95" s="2" t="s">
        <v>232</v>
      </c>
      <c r="F95" s="2" t="s">
        <v>236</v>
      </c>
      <c r="G95" s="2" t="s">
        <v>242</v>
      </c>
      <c r="H95" s="2" t="s">
        <v>246</v>
      </c>
      <c r="I95" s="2">
        <v>30</v>
      </c>
      <c r="J95" s="2" t="s">
        <v>1054</v>
      </c>
      <c r="K95" s="2" t="s">
        <v>308</v>
      </c>
      <c r="L95" s="2">
        <v>20</v>
      </c>
      <c r="M95" s="2" t="s">
        <v>249</v>
      </c>
      <c r="N95" s="2">
        <v>2</v>
      </c>
      <c r="O95" s="2" t="s">
        <v>312</v>
      </c>
      <c r="P95" s="2" t="s">
        <v>314</v>
      </c>
      <c r="Q95" s="2" t="s">
        <v>313</v>
      </c>
      <c r="R95" s="2" t="s">
        <v>311</v>
      </c>
      <c r="S95" s="2" t="s">
        <v>313</v>
      </c>
      <c r="T95" s="2" t="s">
        <v>314</v>
      </c>
      <c r="U95" s="2" t="s">
        <v>314</v>
      </c>
      <c r="V95" s="2" t="s">
        <v>315</v>
      </c>
      <c r="W95" s="2" t="s">
        <v>316</v>
      </c>
      <c r="X95" s="2" t="s">
        <v>318</v>
      </c>
      <c r="Y95" s="2" t="s">
        <v>316</v>
      </c>
      <c r="Z95" s="2" t="s">
        <v>313</v>
      </c>
      <c r="AA95" s="2" t="s">
        <v>315</v>
      </c>
      <c r="AB95" s="2" t="s">
        <v>326</v>
      </c>
      <c r="AC95" s="2" t="s">
        <v>1104</v>
      </c>
      <c r="AD95" s="2" t="s">
        <v>1105</v>
      </c>
    </row>
    <row r="96" spans="1:30" x14ac:dyDescent="0.3">
      <c r="A96" s="2" t="s">
        <v>30</v>
      </c>
      <c r="B96" s="2" t="s">
        <v>647</v>
      </c>
      <c r="C96" s="2" t="s">
        <v>789</v>
      </c>
      <c r="D96" s="2">
        <v>31</v>
      </c>
      <c r="E96" s="2" t="s">
        <v>232</v>
      </c>
      <c r="F96" s="2" t="s">
        <v>237</v>
      </c>
      <c r="G96" s="2" t="s">
        <v>240</v>
      </c>
      <c r="H96" s="2" t="s">
        <v>245</v>
      </c>
      <c r="I96" s="2">
        <v>25</v>
      </c>
      <c r="J96" s="2" t="s">
        <v>1089</v>
      </c>
      <c r="K96" s="2" t="s">
        <v>308</v>
      </c>
      <c r="L96" s="2">
        <v>13</v>
      </c>
      <c r="M96" s="2" t="s">
        <v>262</v>
      </c>
      <c r="N96" s="2">
        <v>0</v>
      </c>
      <c r="O96" s="2" t="s">
        <v>311</v>
      </c>
      <c r="P96" s="2" t="s">
        <v>313</v>
      </c>
      <c r="Q96" s="2" t="s">
        <v>312</v>
      </c>
      <c r="R96" s="2" t="s">
        <v>314</v>
      </c>
      <c r="S96" s="2" t="s">
        <v>313</v>
      </c>
      <c r="T96" s="2" t="s">
        <v>314</v>
      </c>
      <c r="U96" s="2" t="s">
        <v>314</v>
      </c>
      <c r="V96" s="2" t="s">
        <v>315</v>
      </c>
      <c r="W96" s="2" t="s">
        <v>316</v>
      </c>
      <c r="X96" s="2" t="s">
        <v>320</v>
      </c>
      <c r="Y96" s="2" t="s">
        <v>315</v>
      </c>
      <c r="Z96" s="2" t="s">
        <v>313</v>
      </c>
      <c r="AA96" s="2" t="s">
        <v>315</v>
      </c>
      <c r="AB96" s="2" t="s">
        <v>325</v>
      </c>
      <c r="AC96" s="2" t="s">
        <v>1102</v>
      </c>
      <c r="AD96" s="2" t="s">
        <v>1105</v>
      </c>
    </row>
    <row r="97" spans="1:30" x14ac:dyDescent="0.3">
      <c r="A97" s="1">
        <v>45659.703761574077</v>
      </c>
      <c r="B97" s="2" t="s">
        <v>107</v>
      </c>
      <c r="C97" s="2" t="s">
        <v>906</v>
      </c>
      <c r="D97" s="2">
        <v>33</v>
      </c>
      <c r="E97" s="2" t="s">
        <v>232</v>
      </c>
      <c r="F97" s="2" t="s">
        <v>233</v>
      </c>
      <c r="G97" s="2" t="s">
        <v>238</v>
      </c>
      <c r="H97" s="2" t="s">
        <v>244</v>
      </c>
      <c r="I97" s="2">
        <v>17</v>
      </c>
      <c r="J97" s="2" t="s">
        <v>284</v>
      </c>
      <c r="K97" s="2" t="s">
        <v>309</v>
      </c>
      <c r="L97" s="2">
        <v>10</v>
      </c>
      <c r="M97" s="2" t="s">
        <v>243</v>
      </c>
      <c r="N97" s="2">
        <v>3</v>
      </c>
      <c r="O97" s="2" t="s">
        <v>313</v>
      </c>
      <c r="P97" s="2" t="s">
        <v>313</v>
      </c>
      <c r="Q97" s="2" t="s">
        <v>312</v>
      </c>
      <c r="R97" s="2" t="s">
        <v>311</v>
      </c>
      <c r="S97" s="2" t="s">
        <v>311</v>
      </c>
      <c r="T97" s="2" t="s">
        <v>314</v>
      </c>
      <c r="U97" s="2" t="s">
        <v>313</v>
      </c>
      <c r="V97" s="2" t="s">
        <v>315</v>
      </c>
      <c r="W97" s="2" t="s">
        <v>316</v>
      </c>
      <c r="X97" s="2" t="s">
        <v>317</v>
      </c>
      <c r="Y97" s="2" t="s">
        <v>315</v>
      </c>
      <c r="Z97" s="2" t="s">
        <v>313</v>
      </c>
      <c r="AA97" s="2" t="s">
        <v>322</v>
      </c>
      <c r="AB97" s="2" t="s">
        <v>325</v>
      </c>
      <c r="AC97" s="2" t="s">
        <v>403</v>
      </c>
      <c r="AD97" s="2" t="s">
        <v>503</v>
      </c>
    </row>
    <row r="98" spans="1:30" x14ac:dyDescent="0.3">
      <c r="A98" s="2" t="s">
        <v>30</v>
      </c>
      <c r="B98" s="2" t="s">
        <v>612</v>
      </c>
      <c r="C98" s="2" t="s">
        <v>183</v>
      </c>
      <c r="D98" s="2">
        <v>35</v>
      </c>
      <c r="E98" s="2" t="s">
        <v>232</v>
      </c>
      <c r="F98" s="2" t="s">
        <v>234</v>
      </c>
      <c r="G98" s="2" t="s">
        <v>239</v>
      </c>
      <c r="H98" s="2" t="s">
        <v>244</v>
      </c>
      <c r="I98" s="2">
        <v>27</v>
      </c>
      <c r="J98" s="2" t="s">
        <v>249</v>
      </c>
      <c r="K98" s="2" t="s">
        <v>310</v>
      </c>
      <c r="L98" s="2">
        <v>14</v>
      </c>
      <c r="M98" s="2" t="s">
        <v>275</v>
      </c>
      <c r="N98" s="2">
        <v>3</v>
      </c>
      <c r="O98" s="2" t="s">
        <v>313</v>
      </c>
      <c r="P98" s="2" t="s">
        <v>312</v>
      </c>
      <c r="Q98" s="2" t="s">
        <v>314</v>
      </c>
      <c r="R98" s="2" t="s">
        <v>311</v>
      </c>
      <c r="S98" s="2" t="s">
        <v>312</v>
      </c>
      <c r="T98" s="2" t="s">
        <v>313</v>
      </c>
      <c r="U98" s="2" t="s">
        <v>313</v>
      </c>
      <c r="V98" s="2" t="s">
        <v>315</v>
      </c>
      <c r="W98" s="2" t="s">
        <v>316</v>
      </c>
      <c r="X98" s="2" t="s">
        <v>318</v>
      </c>
      <c r="Y98" s="2" t="s">
        <v>315</v>
      </c>
      <c r="Z98" s="2" t="s">
        <v>313</v>
      </c>
      <c r="AA98" s="2" t="s">
        <v>1095</v>
      </c>
      <c r="AB98" s="2" t="s">
        <v>326</v>
      </c>
      <c r="AC98" s="2" t="s">
        <v>1102</v>
      </c>
      <c r="AD98" s="2" t="s">
        <v>1105</v>
      </c>
    </row>
    <row r="99" spans="1:30" hidden="1" x14ac:dyDescent="0.3">
      <c r="A99" s="2" t="s">
        <v>30</v>
      </c>
      <c r="B99" s="2" t="s">
        <v>549</v>
      </c>
      <c r="C99" s="2" t="s">
        <v>854</v>
      </c>
      <c r="D99" s="2">
        <v>35</v>
      </c>
      <c r="E99" s="2" t="s">
        <v>231</v>
      </c>
      <c r="F99" s="2" t="s">
        <v>233</v>
      </c>
      <c r="G99" s="2" t="s">
        <v>239</v>
      </c>
      <c r="H99" s="2" t="s">
        <v>244</v>
      </c>
      <c r="I99" s="2">
        <v>21</v>
      </c>
      <c r="J99" s="2" t="s">
        <v>1057</v>
      </c>
      <c r="K99" s="2" t="s">
        <v>310</v>
      </c>
      <c r="L99" s="2">
        <v>17</v>
      </c>
      <c r="M99" s="2" t="s">
        <v>251</v>
      </c>
      <c r="N99" s="2">
        <v>1</v>
      </c>
      <c r="O99" s="2" t="s">
        <v>312</v>
      </c>
      <c r="P99" s="2" t="s">
        <v>313</v>
      </c>
      <c r="Q99" s="2" t="s">
        <v>311</v>
      </c>
      <c r="R99" s="2" t="s">
        <v>314</v>
      </c>
      <c r="S99" s="2" t="s">
        <v>311</v>
      </c>
      <c r="T99" s="2" t="s">
        <v>311</v>
      </c>
      <c r="U99" s="2" t="s">
        <v>311</v>
      </c>
      <c r="V99" s="2" t="s">
        <v>315</v>
      </c>
      <c r="W99" s="2" t="s">
        <v>316</v>
      </c>
      <c r="X99" s="2" t="s">
        <v>320</v>
      </c>
      <c r="Y99" s="2" t="s">
        <v>316</v>
      </c>
      <c r="Z99" s="2" t="s">
        <v>313</v>
      </c>
      <c r="AA99" s="2" t="s">
        <v>321</v>
      </c>
      <c r="AB99" s="2" t="s">
        <v>325</v>
      </c>
      <c r="AC99" s="2" t="s">
        <v>1102</v>
      </c>
      <c r="AD99" s="2" t="s">
        <v>1105</v>
      </c>
    </row>
    <row r="100" spans="1:30" hidden="1" x14ac:dyDescent="0.3">
      <c r="A100" s="1">
        <v>45718.468854166669</v>
      </c>
      <c r="B100" s="2" t="s">
        <v>41</v>
      </c>
      <c r="C100" s="2" t="s">
        <v>897</v>
      </c>
      <c r="D100" s="2">
        <v>38</v>
      </c>
      <c r="E100" s="2" t="s">
        <v>231</v>
      </c>
      <c r="F100" s="2" t="s">
        <v>233</v>
      </c>
      <c r="G100" s="2" t="s">
        <v>238</v>
      </c>
      <c r="H100" s="2" t="s">
        <v>245</v>
      </c>
      <c r="I100" s="2">
        <v>26</v>
      </c>
      <c r="J100" s="2" t="s">
        <v>249</v>
      </c>
      <c r="K100" s="2" t="s">
        <v>310</v>
      </c>
      <c r="L100" s="2">
        <v>9</v>
      </c>
      <c r="M100" s="2" t="s">
        <v>262</v>
      </c>
      <c r="N100" s="2">
        <v>1</v>
      </c>
      <c r="O100" s="2" t="s">
        <v>311</v>
      </c>
      <c r="P100" s="2" t="s">
        <v>311</v>
      </c>
      <c r="Q100" s="2" t="s">
        <v>314</v>
      </c>
      <c r="R100" s="2" t="s">
        <v>311</v>
      </c>
      <c r="S100" s="2" t="s">
        <v>311</v>
      </c>
      <c r="T100" s="2" t="s">
        <v>312</v>
      </c>
      <c r="U100" s="2" t="s">
        <v>313</v>
      </c>
      <c r="V100" s="2" t="s">
        <v>315</v>
      </c>
      <c r="W100" s="2" t="s">
        <v>316</v>
      </c>
      <c r="X100" s="2" t="s">
        <v>319</v>
      </c>
      <c r="Y100" s="2" t="s">
        <v>315</v>
      </c>
      <c r="Z100" s="2" t="s">
        <v>313</v>
      </c>
      <c r="AA100" s="2" t="s">
        <v>322</v>
      </c>
      <c r="AB100" s="2" t="s">
        <v>325</v>
      </c>
      <c r="AC100" s="2" t="s">
        <v>337</v>
      </c>
      <c r="AD100" s="2" t="s">
        <v>437</v>
      </c>
    </row>
    <row r="101" spans="1:30" x14ac:dyDescent="0.3">
      <c r="A101" s="2" t="s">
        <v>30</v>
      </c>
      <c r="B101" s="2" t="s">
        <v>598</v>
      </c>
      <c r="C101" s="2" t="s">
        <v>756</v>
      </c>
      <c r="D101" s="2">
        <v>41</v>
      </c>
      <c r="E101" s="2" t="s">
        <v>232</v>
      </c>
      <c r="F101" s="2" t="s">
        <v>233</v>
      </c>
      <c r="G101" s="2" t="s">
        <v>239</v>
      </c>
      <c r="H101" s="2" t="s">
        <v>244</v>
      </c>
      <c r="I101" s="2">
        <v>17</v>
      </c>
      <c r="J101" s="2" t="s">
        <v>1051</v>
      </c>
      <c r="K101" s="2" t="s">
        <v>310</v>
      </c>
      <c r="L101" s="2">
        <v>16</v>
      </c>
      <c r="M101" s="2" t="s">
        <v>243</v>
      </c>
      <c r="N101" s="2">
        <v>3</v>
      </c>
      <c r="O101" s="2" t="s">
        <v>311</v>
      </c>
      <c r="P101" s="2" t="s">
        <v>314</v>
      </c>
      <c r="Q101" s="2" t="s">
        <v>314</v>
      </c>
      <c r="R101" s="2" t="s">
        <v>311</v>
      </c>
      <c r="S101" s="2" t="s">
        <v>313</v>
      </c>
      <c r="T101" s="2" t="s">
        <v>311</v>
      </c>
      <c r="U101" s="2" t="s">
        <v>311</v>
      </c>
      <c r="V101" s="2" t="s">
        <v>315</v>
      </c>
      <c r="W101" s="2" t="s">
        <v>316</v>
      </c>
      <c r="X101" s="2" t="s">
        <v>319</v>
      </c>
      <c r="Y101" s="2" t="s">
        <v>315</v>
      </c>
      <c r="Z101" s="2" t="s">
        <v>313</v>
      </c>
      <c r="AA101" s="2" t="s">
        <v>1095</v>
      </c>
      <c r="AB101" s="2" t="s">
        <v>325</v>
      </c>
      <c r="AC101" s="2" t="s">
        <v>1102</v>
      </c>
      <c r="AD101" s="2" t="s">
        <v>1105</v>
      </c>
    </row>
    <row r="102" spans="1:30" x14ac:dyDescent="0.3">
      <c r="A102" s="2" t="s">
        <v>30</v>
      </c>
      <c r="B102" s="2" t="s">
        <v>653</v>
      </c>
      <c r="C102" s="2" t="s">
        <v>204</v>
      </c>
      <c r="D102" s="2">
        <v>47</v>
      </c>
      <c r="E102" s="2" t="s">
        <v>232</v>
      </c>
      <c r="F102" s="2" t="s">
        <v>235</v>
      </c>
      <c r="G102" s="2" t="s">
        <v>239</v>
      </c>
      <c r="H102" s="2" t="s">
        <v>245</v>
      </c>
      <c r="I102" s="2">
        <v>6</v>
      </c>
      <c r="J102" s="2" t="s">
        <v>290</v>
      </c>
      <c r="K102" s="2" t="s">
        <v>310</v>
      </c>
      <c r="L102" s="2">
        <v>14</v>
      </c>
      <c r="M102" s="2" t="s">
        <v>251</v>
      </c>
      <c r="N102" s="2">
        <v>3</v>
      </c>
      <c r="O102" s="2" t="s">
        <v>314</v>
      </c>
      <c r="P102" s="2" t="s">
        <v>314</v>
      </c>
      <c r="Q102" s="2" t="s">
        <v>312</v>
      </c>
      <c r="R102" s="2" t="s">
        <v>311</v>
      </c>
      <c r="S102" s="2" t="s">
        <v>311</v>
      </c>
      <c r="T102" s="2" t="s">
        <v>312</v>
      </c>
      <c r="U102" s="2" t="s">
        <v>312</v>
      </c>
      <c r="V102" s="2" t="s">
        <v>315</v>
      </c>
      <c r="W102" s="2" t="s">
        <v>316</v>
      </c>
      <c r="X102" s="2" t="s">
        <v>318</v>
      </c>
      <c r="Y102" s="2" t="s">
        <v>315</v>
      </c>
      <c r="Z102" s="2" t="s">
        <v>313</v>
      </c>
      <c r="AA102" s="2" t="s">
        <v>316</v>
      </c>
      <c r="AB102" s="2" t="s">
        <v>326</v>
      </c>
      <c r="AC102" s="2" t="s">
        <v>1102</v>
      </c>
      <c r="AD102" s="2" t="s">
        <v>1105</v>
      </c>
    </row>
    <row r="103" spans="1:30" hidden="1" x14ac:dyDescent="0.3">
      <c r="A103" s="2" t="s">
        <v>30</v>
      </c>
      <c r="B103" s="2" t="s">
        <v>584</v>
      </c>
      <c r="C103" s="2" t="s">
        <v>745</v>
      </c>
      <c r="D103" s="2">
        <v>48</v>
      </c>
      <c r="E103" s="2" t="s">
        <v>231</v>
      </c>
      <c r="F103" s="2" t="s">
        <v>236</v>
      </c>
      <c r="G103" s="2" t="s">
        <v>242</v>
      </c>
      <c r="H103" s="2" t="s">
        <v>244</v>
      </c>
      <c r="I103" s="2">
        <v>11</v>
      </c>
      <c r="J103" s="2" t="s">
        <v>255</v>
      </c>
      <c r="K103" s="2" t="s">
        <v>310</v>
      </c>
      <c r="L103" s="2">
        <v>14</v>
      </c>
      <c r="M103" s="2" t="s">
        <v>262</v>
      </c>
      <c r="N103" s="2">
        <v>1</v>
      </c>
      <c r="O103" s="2" t="s">
        <v>313</v>
      </c>
      <c r="P103" s="2" t="s">
        <v>313</v>
      </c>
      <c r="Q103" s="2" t="s">
        <v>311</v>
      </c>
      <c r="R103" s="2" t="s">
        <v>314</v>
      </c>
      <c r="S103" s="2" t="s">
        <v>314</v>
      </c>
      <c r="T103" s="2" t="s">
        <v>314</v>
      </c>
      <c r="U103" s="2" t="s">
        <v>314</v>
      </c>
      <c r="V103" s="2" t="s">
        <v>315</v>
      </c>
      <c r="W103" s="2" t="s">
        <v>316</v>
      </c>
      <c r="X103" s="2" t="s">
        <v>319</v>
      </c>
      <c r="Y103" s="2" t="s">
        <v>315</v>
      </c>
      <c r="Z103" s="2" t="s">
        <v>313</v>
      </c>
      <c r="AA103" s="2" t="s">
        <v>315</v>
      </c>
      <c r="AB103" s="2" t="s">
        <v>325</v>
      </c>
      <c r="AC103" s="2" t="s">
        <v>1097</v>
      </c>
      <c r="AD103" s="2" t="s">
        <v>1105</v>
      </c>
    </row>
    <row r="104" spans="1:30" hidden="1" x14ac:dyDescent="0.3">
      <c r="A104" s="1">
        <v>45725.769120370373</v>
      </c>
      <c r="B104" s="2" t="s">
        <v>35</v>
      </c>
      <c r="C104" s="2" t="s">
        <v>719</v>
      </c>
      <c r="D104" s="2">
        <v>49</v>
      </c>
      <c r="E104" s="2" t="s">
        <v>231</v>
      </c>
      <c r="F104" s="2" t="s">
        <v>235</v>
      </c>
      <c r="G104" s="2" t="s">
        <v>241</v>
      </c>
      <c r="H104" s="2" t="s">
        <v>245</v>
      </c>
      <c r="I104" s="2">
        <v>1</v>
      </c>
      <c r="J104" s="2" t="s">
        <v>250</v>
      </c>
      <c r="K104" s="2" t="s">
        <v>309</v>
      </c>
      <c r="L104" s="2">
        <v>20</v>
      </c>
      <c r="M104" s="2" t="s">
        <v>243</v>
      </c>
      <c r="N104" s="2">
        <v>3</v>
      </c>
      <c r="O104" s="2" t="s">
        <v>313</v>
      </c>
      <c r="P104" s="2" t="s">
        <v>314</v>
      </c>
      <c r="Q104" s="2" t="s">
        <v>312</v>
      </c>
      <c r="R104" s="2" t="s">
        <v>314</v>
      </c>
      <c r="S104" s="2" t="s">
        <v>311</v>
      </c>
      <c r="T104" s="2" t="s">
        <v>313</v>
      </c>
      <c r="U104" s="2" t="s">
        <v>312</v>
      </c>
      <c r="V104" s="2" t="s">
        <v>315</v>
      </c>
      <c r="W104" s="2" t="s">
        <v>316</v>
      </c>
      <c r="X104" s="2" t="s">
        <v>318</v>
      </c>
      <c r="Y104" s="2" t="s">
        <v>315</v>
      </c>
      <c r="Z104" s="2" t="s">
        <v>313</v>
      </c>
      <c r="AA104" s="2" t="s">
        <v>321</v>
      </c>
      <c r="AB104" s="2" t="s">
        <v>324</v>
      </c>
      <c r="AC104" s="2" t="s">
        <v>331</v>
      </c>
      <c r="AD104" s="2" t="s">
        <v>431</v>
      </c>
    </row>
    <row r="105" spans="1:30" x14ac:dyDescent="0.3">
      <c r="A105" s="2" t="s">
        <v>30</v>
      </c>
      <c r="B105" s="2" t="s">
        <v>530</v>
      </c>
      <c r="C105" s="2" t="s">
        <v>1110</v>
      </c>
      <c r="D105" s="2">
        <v>49</v>
      </c>
      <c r="E105" s="2" t="s">
        <v>232</v>
      </c>
      <c r="F105" s="2" t="s">
        <v>236</v>
      </c>
      <c r="G105" s="2" t="s">
        <v>243</v>
      </c>
      <c r="H105" s="2" t="s">
        <v>244</v>
      </c>
      <c r="I105" s="2">
        <v>22</v>
      </c>
      <c r="J105" s="2" t="s">
        <v>951</v>
      </c>
      <c r="K105" s="2" t="s">
        <v>310</v>
      </c>
      <c r="L105" s="2">
        <v>20</v>
      </c>
      <c r="M105" s="2" t="s">
        <v>275</v>
      </c>
      <c r="N105" s="2">
        <v>1</v>
      </c>
      <c r="O105" s="2" t="s">
        <v>312</v>
      </c>
      <c r="P105" s="2" t="s">
        <v>313</v>
      </c>
      <c r="Q105" s="2" t="s">
        <v>313</v>
      </c>
      <c r="R105" s="2" t="s">
        <v>311</v>
      </c>
      <c r="S105" s="2" t="s">
        <v>313</v>
      </c>
      <c r="T105" s="2" t="s">
        <v>312</v>
      </c>
      <c r="U105" s="2" t="s">
        <v>312</v>
      </c>
      <c r="V105" s="2" t="s">
        <v>315</v>
      </c>
      <c r="W105" s="2" t="s">
        <v>316</v>
      </c>
      <c r="X105" s="2" t="s">
        <v>320</v>
      </c>
      <c r="Y105" s="2" t="s">
        <v>316</v>
      </c>
      <c r="Z105" s="2" t="s">
        <v>313</v>
      </c>
      <c r="AA105" s="2" t="s">
        <v>316</v>
      </c>
      <c r="AB105" s="2" t="s">
        <v>323</v>
      </c>
      <c r="AC105" s="2" t="s">
        <v>1097</v>
      </c>
      <c r="AD105" s="2" t="s">
        <v>1105</v>
      </c>
    </row>
    <row r="106" spans="1:30" x14ac:dyDescent="0.3">
      <c r="A106" s="2" t="s">
        <v>30</v>
      </c>
      <c r="B106" s="2" t="s">
        <v>532</v>
      </c>
      <c r="C106" s="2" t="s">
        <v>743</v>
      </c>
      <c r="D106" s="2">
        <v>50</v>
      </c>
      <c r="E106" s="2" t="s">
        <v>232</v>
      </c>
      <c r="F106" s="2" t="s">
        <v>236</v>
      </c>
      <c r="G106" s="2" t="s">
        <v>240</v>
      </c>
      <c r="H106" s="2" t="s">
        <v>244</v>
      </c>
      <c r="I106" s="2">
        <v>8</v>
      </c>
      <c r="J106" s="2" t="s">
        <v>999</v>
      </c>
      <c r="K106" s="2" t="s">
        <v>310</v>
      </c>
      <c r="L106" s="2">
        <v>0</v>
      </c>
      <c r="M106" s="2" t="s">
        <v>251</v>
      </c>
      <c r="N106" s="2">
        <v>3</v>
      </c>
      <c r="O106" s="2" t="s">
        <v>311</v>
      </c>
      <c r="P106" s="2" t="s">
        <v>311</v>
      </c>
      <c r="Q106" s="2" t="s">
        <v>311</v>
      </c>
      <c r="R106" s="2" t="s">
        <v>312</v>
      </c>
      <c r="S106" s="2" t="s">
        <v>314</v>
      </c>
      <c r="T106" s="2" t="s">
        <v>312</v>
      </c>
      <c r="U106" s="2" t="s">
        <v>312</v>
      </c>
      <c r="V106" s="2" t="s">
        <v>315</v>
      </c>
      <c r="W106" s="2" t="s">
        <v>316</v>
      </c>
      <c r="X106" s="2" t="s">
        <v>317</v>
      </c>
      <c r="Y106" s="2" t="s">
        <v>315</v>
      </c>
      <c r="Z106" s="2" t="s">
        <v>313</v>
      </c>
      <c r="AA106" s="2" t="s">
        <v>316</v>
      </c>
      <c r="AB106" s="2" t="s">
        <v>325</v>
      </c>
      <c r="AC106" s="2" t="s">
        <v>1097</v>
      </c>
      <c r="AD106" s="2" t="s">
        <v>1105</v>
      </c>
    </row>
    <row r="107" spans="1:30" hidden="1" x14ac:dyDescent="0.3">
      <c r="A107" s="2" t="s">
        <v>30</v>
      </c>
      <c r="B107" s="2" t="s">
        <v>588</v>
      </c>
      <c r="C107" s="2" t="s">
        <v>672</v>
      </c>
      <c r="D107" s="2">
        <v>50</v>
      </c>
      <c r="E107" s="2" t="s">
        <v>231</v>
      </c>
      <c r="F107" s="2" t="s">
        <v>237</v>
      </c>
      <c r="G107" s="2" t="s">
        <v>243</v>
      </c>
      <c r="H107" s="2" t="s">
        <v>245</v>
      </c>
      <c r="I107" s="2">
        <v>29</v>
      </c>
      <c r="J107" s="2" t="s">
        <v>1002</v>
      </c>
      <c r="K107" s="2" t="s">
        <v>309</v>
      </c>
      <c r="L107" s="2">
        <v>9</v>
      </c>
      <c r="M107" s="2" t="s">
        <v>251</v>
      </c>
      <c r="N107" s="2">
        <v>0</v>
      </c>
      <c r="O107" s="2" t="s">
        <v>313</v>
      </c>
      <c r="P107" s="2" t="s">
        <v>314</v>
      </c>
      <c r="Q107" s="2" t="s">
        <v>312</v>
      </c>
      <c r="R107" s="2" t="s">
        <v>313</v>
      </c>
      <c r="S107" s="2" t="s">
        <v>314</v>
      </c>
      <c r="T107" s="2" t="s">
        <v>312</v>
      </c>
      <c r="U107" s="2" t="s">
        <v>312</v>
      </c>
      <c r="V107" s="2" t="s">
        <v>315</v>
      </c>
      <c r="W107" s="2" t="s">
        <v>316</v>
      </c>
      <c r="X107" s="2" t="s">
        <v>320</v>
      </c>
      <c r="Y107" s="2" t="s">
        <v>315</v>
      </c>
      <c r="Z107" s="2" t="s">
        <v>313</v>
      </c>
      <c r="AA107" s="2" t="s">
        <v>321</v>
      </c>
      <c r="AB107" s="2" t="s">
        <v>323</v>
      </c>
      <c r="AC107" s="2" t="s">
        <v>1102</v>
      </c>
      <c r="AD107" s="2" t="s">
        <v>1105</v>
      </c>
    </row>
    <row r="108" spans="1:30" x14ac:dyDescent="0.3">
      <c r="A108" s="2" t="s">
        <v>30</v>
      </c>
      <c r="B108" s="2" t="s">
        <v>555</v>
      </c>
      <c r="C108" s="2" t="s">
        <v>863</v>
      </c>
      <c r="D108" s="2">
        <v>50</v>
      </c>
      <c r="E108" s="2" t="s">
        <v>232</v>
      </c>
      <c r="F108" s="2" t="s">
        <v>236</v>
      </c>
      <c r="G108" s="2" t="s">
        <v>243</v>
      </c>
      <c r="H108" s="2" t="s">
        <v>244</v>
      </c>
      <c r="I108" s="2">
        <v>19</v>
      </c>
      <c r="J108" s="2" t="s">
        <v>975</v>
      </c>
      <c r="K108" s="2" t="s">
        <v>309</v>
      </c>
      <c r="L108" s="2">
        <v>20</v>
      </c>
      <c r="M108" s="2" t="s">
        <v>262</v>
      </c>
      <c r="N108" s="2">
        <v>0</v>
      </c>
      <c r="O108" s="2" t="s">
        <v>312</v>
      </c>
      <c r="P108" s="2" t="s">
        <v>311</v>
      </c>
      <c r="Q108" s="2" t="s">
        <v>312</v>
      </c>
      <c r="R108" s="2" t="s">
        <v>314</v>
      </c>
      <c r="S108" s="2" t="s">
        <v>313</v>
      </c>
      <c r="T108" s="2" t="s">
        <v>311</v>
      </c>
      <c r="U108" s="2" t="s">
        <v>311</v>
      </c>
      <c r="V108" s="2" t="s">
        <v>315</v>
      </c>
      <c r="W108" s="2" t="s">
        <v>316</v>
      </c>
      <c r="X108" s="2" t="s">
        <v>318</v>
      </c>
      <c r="Y108" s="2" t="s">
        <v>315</v>
      </c>
      <c r="Z108" s="2" t="s">
        <v>313</v>
      </c>
      <c r="AA108" s="2" t="s">
        <v>315</v>
      </c>
      <c r="AB108" s="2" t="s">
        <v>324</v>
      </c>
      <c r="AC108" s="2" t="s">
        <v>1101</v>
      </c>
      <c r="AD108" s="2" t="s">
        <v>1105</v>
      </c>
    </row>
    <row r="109" spans="1:30" x14ac:dyDescent="0.3">
      <c r="A109" s="2" t="s">
        <v>30</v>
      </c>
      <c r="B109" s="2" t="s">
        <v>604</v>
      </c>
      <c r="C109" s="2" t="s">
        <v>175</v>
      </c>
      <c r="D109" s="2">
        <v>50</v>
      </c>
      <c r="E109" s="2" t="s">
        <v>232</v>
      </c>
      <c r="F109" s="2" t="s">
        <v>235</v>
      </c>
      <c r="G109" s="2" t="s">
        <v>241</v>
      </c>
      <c r="H109" s="2" t="s">
        <v>246</v>
      </c>
      <c r="I109" s="2">
        <v>14</v>
      </c>
      <c r="J109" s="2" t="s">
        <v>1049</v>
      </c>
      <c r="K109" s="2" t="s">
        <v>309</v>
      </c>
      <c r="L109" s="2">
        <v>9</v>
      </c>
      <c r="M109" s="2" t="s">
        <v>249</v>
      </c>
      <c r="N109" s="2">
        <v>3</v>
      </c>
      <c r="O109" s="2" t="s">
        <v>311</v>
      </c>
      <c r="P109" s="2" t="s">
        <v>311</v>
      </c>
      <c r="Q109" s="2" t="s">
        <v>312</v>
      </c>
      <c r="R109" s="2" t="s">
        <v>311</v>
      </c>
      <c r="S109" s="2" t="s">
        <v>312</v>
      </c>
      <c r="T109" s="2" t="s">
        <v>313</v>
      </c>
      <c r="U109" s="2" t="s">
        <v>313</v>
      </c>
      <c r="V109" s="2" t="s">
        <v>315</v>
      </c>
      <c r="W109" s="2" t="s">
        <v>316</v>
      </c>
      <c r="X109" s="2" t="s">
        <v>318</v>
      </c>
      <c r="Y109" s="2" t="s">
        <v>316</v>
      </c>
      <c r="Z109" s="2" t="s">
        <v>313</v>
      </c>
      <c r="AA109" s="2" t="s">
        <v>1095</v>
      </c>
      <c r="AB109" s="2" t="s">
        <v>323</v>
      </c>
      <c r="AC109" s="2" t="s">
        <v>1096</v>
      </c>
      <c r="AD109" s="2" t="s">
        <v>1105</v>
      </c>
    </row>
    <row r="110" spans="1:30" x14ac:dyDescent="0.3">
      <c r="A110" s="2" t="s">
        <v>30</v>
      </c>
      <c r="B110" s="2" t="s">
        <v>618</v>
      </c>
      <c r="C110" s="2" t="s">
        <v>899</v>
      </c>
      <c r="D110" s="2">
        <v>52</v>
      </c>
      <c r="E110" s="2" t="s">
        <v>232</v>
      </c>
      <c r="F110" s="2" t="s">
        <v>233</v>
      </c>
      <c r="G110" s="2" t="s">
        <v>241</v>
      </c>
      <c r="H110" s="2" t="s">
        <v>246</v>
      </c>
      <c r="I110" s="2">
        <v>26</v>
      </c>
      <c r="J110" s="2" t="s">
        <v>1059</v>
      </c>
      <c r="K110" s="2" t="s">
        <v>309</v>
      </c>
      <c r="L110" s="2">
        <v>7</v>
      </c>
      <c r="M110" s="2" t="s">
        <v>241</v>
      </c>
      <c r="N110" s="2">
        <v>0</v>
      </c>
      <c r="O110" s="2" t="s">
        <v>311</v>
      </c>
      <c r="P110" s="2" t="s">
        <v>313</v>
      </c>
      <c r="Q110" s="2" t="s">
        <v>313</v>
      </c>
      <c r="R110" s="2" t="s">
        <v>313</v>
      </c>
      <c r="S110" s="2" t="s">
        <v>313</v>
      </c>
      <c r="T110" s="2" t="s">
        <v>313</v>
      </c>
      <c r="U110" s="2" t="s">
        <v>313</v>
      </c>
      <c r="V110" s="2" t="s">
        <v>315</v>
      </c>
      <c r="W110" s="2" t="s">
        <v>316</v>
      </c>
      <c r="X110" s="2" t="s">
        <v>318</v>
      </c>
      <c r="Y110" s="2" t="s">
        <v>316</v>
      </c>
      <c r="Z110" s="2" t="s">
        <v>313</v>
      </c>
      <c r="AA110" s="2" t="s">
        <v>321</v>
      </c>
      <c r="AB110" s="2" t="s">
        <v>323</v>
      </c>
      <c r="AC110" s="2" t="s">
        <v>1100</v>
      </c>
      <c r="AD110" s="2" t="s">
        <v>1105</v>
      </c>
    </row>
    <row r="111" spans="1:30" hidden="1" x14ac:dyDescent="0.3">
      <c r="A111" s="1">
        <v>45784.066099537027</v>
      </c>
      <c r="B111" s="2" t="s">
        <v>94</v>
      </c>
      <c r="C111" s="2" t="s">
        <v>131</v>
      </c>
      <c r="D111" s="2">
        <v>53</v>
      </c>
      <c r="E111" s="2" t="s">
        <v>231</v>
      </c>
      <c r="F111" s="2" t="s">
        <v>235</v>
      </c>
      <c r="G111" s="2" t="s">
        <v>242</v>
      </c>
      <c r="H111" s="2" t="s">
        <v>246</v>
      </c>
      <c r="I111" s="2">
        <v>21</v>
      </c>
      <c r="J111" s="2" t="s">
        <v>289</v>
      </c>
      <c r="K111" s="2" t="s">
        <v>310</v>
      </c>
      <c r="L111" s="2">
        <v>17</v>
      </c>
      <c r="M111" s="2" t="s">
        <v>243</v>
      </c>
      <c r="N111" s="2">
        <v>1</v>
      </c>
      <c r="O111" s="2" t="s">
        <v>312</v>
      </c>
      <c r="P111" s="2" t="s">
        <v>312</v>
      </c>
      <c r="Q111" s="2" t="s">
        <v>313</v>
      </c>
      <c r="R111" s="2" t="s">
        <v>312</v>
      </c>
      <c r="S111" s="2" t="s">
        <v>311</v>
      </c>
      <c r="T111" s="2" t="s">
        <v>312</v>
      </c>
      <c r="U111" s="2" t="s">
        <v>312</v>
      </c>
      <c r="V111" s="2" t="s">
        <v>315</v>
      </c>
      <c r="W111" s="2" t="s">
        <v>316</v>
      </c>
      <c r="X111" s="2" t="s">
        <v>319</v>
      </c>
      <c r="Y111" s="2" t="s">
        <v>316</v>
      </c>
      <c r="Z111" s="2" t="s">
        <v>313</v>
      </c>
      <c r="AA111" s="2" t="s">
        <v>322</v>
      </c>
      <c r="AB111" s="2" t="s">
        <v>325</v>
      </c>
      <c r="AC111" s="2" t="s">
        <v>390</v>
      </c>
      <c r="AD111" s="2" t="s">
        <v>490</v>
      </c>
    </row>
    <row r="112" spans="1:30" x14ac:dyDescent="0.3">
      <c r="A112" s="2" t="s">
        <v>30</v>
      </c>
      <c r="B112" s="2" t="s">
        <v>571</v>
      </c>
      <c r="C112" s="2" t="s">
        <v>181</v>
      </c>
      <c r="D112" s="2">
        <v>57</v>
      </c>
      <c r="E112" s="2" t="s">
        <v>232</v>
      </c>
      <c r="F112" s="2" t="s">
        <v>235</v>
      </c>
      <c r="G112" s="2" t="s">
        <v>240</v>
      </c>
      <c r="H112" s="2" t="s">
        <v>246</v>
      </c>
      <c r="I112" s="2">
        <v>21</v>
      </c>
      <c r="J112" s="2" t="s">
        <v>275</v>
      </c>
      <c r="K112" s="2" t="s">
        <v>309</v>
      </c>
      <c r="L112" s="2">
        <v>12</v>
      </c>
      <c r="M112" s="2" t="s">
        <v>262</v>
      </c>
      <c r="N112" s="2">
        <v>1</v>
      </c>
      <c r="O112" s="2" t="s">
        <v>314</v>
      </c>
      <c r="P112" s="2" t="s">
        <v>314</v>
      </c>
      <c r="Q112" s="2" t="s">
        <v>312</v>
      </c>
      <c r="R112" s="2" t="s">
        <v>312</v>
      </c>
      <c r="S112" s="2" t="s">
        <v>313</v>
      </c>
      <c r="T112" s="2" t="s">
        <v>312</v>
      </c>
      <c r="U112" s="2" t="s">
        <v>312</v>
      </c>
      <c r="V112" s="2" t="s">
        <v>315</v>
      </c>
      <c r="W112" s="2" t="s">
        <v>316</v>
      </c>
      <c r="X112" s="2" t="s">
        <v>320</v>
      </c>
      <c r="Y112" s="2" t="s">
        <v>315</v>
      </c>
      <c r="Z112" s="2" t="s">
        <v>313</v>
      </c>
      <c r="AA112" s="2" t="s">
        <v>321</v>
      </c>
      <c r="AB112" s="2" t="s">
        <v>326</v>
      </c>
      <c r="AC112" s="2" t="s">
        <v>1103</v>
      </c>
      <c r="AD112" s="2" t="s">
        <v>1105</v>
      </c>
    </row>
    <row r="113" spans="1:30" hidden="1" x14ac:dyDescent="0.3">
      <c r="A113" s="2" t="s">
        <v>30</v>
      </c>
      <c r="B113" s="2" t="s">
        <v>587</v>
      </c>
      <c r="C113" s="2" t="s">
        <v>829</v>
      </c>
      <c r="D113" s="2">
        <v>58</v>
      </c>
      <c r="E113" s="2" t="s">
        <v>231</v>
      </c>
      <c r="F113" s="2" t="s">
        <v>233</v>
      </c>
      <c r="G113" s="2" t="s">
        <v>239</v>
      </c>
      <c r="H113" s="2" t="s">
        <v>244</v>
      </c>
      <c r="I113" s="2">
        <v>1</v>
      </c>
      <c r="J113" s="2" t="s">
        <v>267</v>
      </c>
      <c r="K113" s="2" t="s">
        <v>310</v>
      </c>
      <c r="L113" s="2">
        <v>11</v>
      </c>
      <c r="M113" s="2" t="s">
        <v>275</v>
      </c>
      <c r="N113" s="2">
        <v>3</v>
      </c>
      <c r="O113" s="2" t="s">
        <v>311</v>
      </c>
      <c r="P113" s="2" t="s">
        <v>313</v>
      </c>
      <c r="Q113" s="2" t="s">
        <v>311</v>
      </c>
      <c r="R113" s="2" t="s">
        <v>314</v>
      </c>
      <c r="S113" s="2" t="s">
        <v>313</v>
      </c>
      <c r="T113" s="2" t="s">
        <v>313</v>
      </c>
      <c r="U113" s="2" t="s">
        <v>313</v>
      </c>
      <c r="V113" s="2" t="s">
        <v>315</v>
      </c>
      <c r="W113" s="2" t="s">
        <v>316</v>
      </c>
      <c r="X113" s="2" t="s">
        <v>319</v>
      </c>
      <c r="Y113" s="2" t="s">
        <v>315</v>
      </c>
      <c r="Z113" s="2" t="s">
        <v>313</v>
      </c>
      <c r="AA113" s="2" t="s">
        <v>316</v>
      </c>
      <c r="AB113" s="2" t="s">
        <v>326</v>
      </c>
      <c r="AC113" s="2" t="s">
        <v>1098</v>
      </c>
      <c r="AD113" s="2" t="s">
        <v>1105</v>
      </c>
    </row>
    <row r="114" spans="1:30" x14ac:dyDescent="0.3">
      <c r="A114" s="2" t="s">
        <v>30</v>
      </c>
      <c r="B114" s="2" t="s">
        <v>582</v>
      </c>
      <c r="C114" s="2" t="s">
        <v>1106</v>
      </c>
      <c r="D114" s="2">
        <v>59</v>
      </c>
      <c r="E114" s="2" t="s">
        <v>232</v>
      </c>
      <c r="F114" s="2" t="s">
        <v>237</v>
      </c>
      <c r="G114" s="2" t="s">
        <v>243</v>
      </c>
      <c r="H114" s="2" t="s">
        <v>244</v>
      </c>
      <c r="I114" s="2">
        <v>9</v>
      </c>
      <c r="J114" s="2" t="s">
        <v>993</v>
      </c>
      <c r="K114" s="2" t="s">
        <v>308</v>
      </c>
      <c r="L114" s="2">
        <v>16</v>
      </c>
      <c r="M114" s="2" t="s">
        <v>249</v>
      </c>
      <c r="N114" s="2">
        <v>1</v>
      </c>
      <c r="O114" s="2" t="s">
        <v>312</v>
      </c>
      <c r="P114" s="2" t="s">
        <v>313</v>
      </c>
      <c r="Q114" s="2" t="s">
        <v>311</v>
      </c>
      <c r="R114" s="2" t="s">
        <v>312</v>
      </c>
      <c r="S114" s="2" t="s">
        <v>314</v>
      </c>
      <c r="T114" s="2" t="s">
        <v>314</v>
      </c>
      <c r="U114" s="2" t="s">
        <v>314</v>
      </c>
      <c r="V114" s="2" t="s">
        <v>315</v>
      </c>
      <c r="W114" s="2" t="s">
        <v>316</v>
      </c>
      <c r="X114" s="2" t="s">
        <v>320</v>
      </c>
      <c r="Y114" s="2" t="s">
        <v>315</v>
      </c>
      <c r="Z114" s="2" t="s">
        <v>313</v>
      </c>
      <c r="AA114" s="2" t="s">
        <v>316</v>
      </c>
      <c r="AB114" s="2" t="s">
        <v>325</v>
      </c>
      <c r="AC114" s="2" t="s">
        <v>1101</v>
      </c>
      <c r="AD114" s="2" t="s">
        <v>1105</v>
      </c>
    </row>
    <row r="115" spans="1:30" hidden="1" x14ac:dyDescent="0.3">
      <c r="A115" s="2" t="s">
        <v>30</v>
      </c>
      <c r="B115" s="2" t="s">
        <v>618</v>
      </c>
      <c r="C115" s="2" t="s">
        <v>790</v>
      </c>
      <c r="D115" s="2">
        <v>60</v>
      </c>
      <c r="E115" s="2" t="s">
        <v>231</v>
      </c>
      <c r="F115" s="2" t="s">
        <v>236</v>
      </c>
      <c r="G115" s="2" t="s">
        <v>238</v>
      </c>
      <c r="H115" s="2" t="s">
        <v>246</v>
      </c>
      <c r="I115" s="2">
        <v>17</v>
      </c>
      <c r="J115" s="2" t="s">
        <v>249</v>
      </c>
      <c r="K115" s="2" t="s">
        <v>309</v>
      </c>
      <c r="L115" s="2">
        <v>2</v>
      </c>
      <c r="M115" s="2" t="s">
        <v>251</v>
      </c>
      <c r="N115" s="2">
        <v>3</v>
      </c>
      <c r="O115" s="2" t="s">
        <v>313</v>
      </c>
      <c r="P115" s="2" t="s">
        <v>312</v>
      </c>
      <c r="Q115" s="2" t="s">
        <v>311</v>
      </c>
      <c r="R115" s="2" t="s">
        <v>312</v>
      </c>
      <c r="S115" s="2" t="s">
        <v>314</v>
      </c>
      <c r="T115" s="2" t="s">
        <v>311</v>
      </c>
      <c r="U115" s="2" t="s">
        <v>311</v>
      </c>
      <c r="V115" s="2" t="s">
        <v>315</v>
      </c>
      <c r="W115" s="2" t="s">
        <v>316</v>
      </c>
      <c r="X115" s="2" t="s">
        <v>317</v>
      </c>
      <c r="Y115" s="2" t="s">
        <v>315</v>
      </c>
      <c r="Z115" s="2" t="s">
        <v>313</v>
      </c>
      <c r="AA115" s="2" t="s">
        <v>316</v>
      </c>
      <c r="AB115" s="2" t="s">
        <v>326</v>
      </c>
      <c r="AC115" s="2" t="s">
        <v>1102</v>
      </c>
      <c r="AD115" s="2" t="s">
        <v>1105</v>
      </c>
    </row>
    <row r="116" spans="1:30" x14ac:dyDescent="0.3">
      <c r="A116" s="2" t="s">
        <v>30</v>
      </c>
      <c r="B116" s="2" t="s">
        <v>601</v>
      </c>
      <c r="C116" s="2" t="s">
        <v>193</v>
      </c>
      <c r="D116" s="2">
        <v>60</v>
      </c>
      <c r="E116" s="2" t="s">
        <v>232</v>
      </c>
      <c r="F116" s="2" t="s">
        <v>234</v>
      </c>
      <c r="G116" s="2" t="s">
        <v>239</v>
      </c>
      <c r="H116" s="2" t="s">
        <v>244</v>
      </c>
      <c r="I116" s="2">
        <v>25</v>
      </c>
      <c r="J116" s="2" t="s">
        <v>1058</v>
      </c>
      <c r="K116" s="2" t="s">
        <v>309</v>
      </c>
      <c r="L116" s="2">
        <v>14</v>
      </c>
      <c r="M116" s="2" t="s">
        <v>243</v>
      </c>
      <c r="N116" s="2">
        <v>2</v>
      </c>
      <c r="O116" s="2" t="s">
        <v>312</v>
      </c>
      <c r="P116" s="2" t="s">
        <v>313</v>
      </c>
      <c r="Q116" s="2" t="s">
        <v>312</v>
      </c>
      <c r="R116" s="2" t="s">
        <v>314</v>
      </c>
      <c r="S116" s="2" t="s">
        <v>313</v>
      </c>
      <c r="T116" s="2" t="s">
        <v>313</v>
      </c>
      <c r="U116" s="2" t="s">
        <v>313</v>
      </c>
      <c r="V116" s="2" t="s">
        <v>315</v>
      </c>
      <c r="W116" s="2" t="s">
        <v>316</v>
      </c>
      <c r="X116" s="2" t="s">
        <v>320</v>
      </c>
      <c r="Y116" s="2" t="s">
        <v>315</v>
      </c>
      <c r="Z116" s="2" t="s">
        <v>313</v>
      </c>
      <c r="AA116" s="2" t="s">
        <v>316</v>
      </c>
      <c r="AB116" s="2" t="s">
        <v>325</v>
      </c>
      <c r="AC116" s="2" t="s">
        <v>1101</v>
      </c>
      <c r="AD116" s="2" t="s">
        <v>1105</v>
      </c>
    </row>
    <row r="117" spans="1:30" hidden="1" x14ac:dyDescent="0.3">
      <c r="A117" s="2" t="s">
        <v>30</v>
      </c>
      <c r="B117" s="2" t="s">
        <v>567</v>
      </c>
      <c r="C117" s="2" t="s">
        <v>218</v>
      </c>
      <c r="D117" s="2">
        <v>25</v>
      </c>
      <c r="E117" s="2" t="s">
        <v>231</v>
      </c>
      <c r="F117" s="2" t="s">
        <v>234</v>
      </c>
      <c r="G117" s="2" t="s">
        <v>243</v>
      </c>
      <c r="H117" s="2" t="s">
        <v>246</v>
      </c>
      <c r="I117" s="2">
        <v>24</v>
      </c>
      <c r="J117" s="2" t="s">
        <v>254</v>
      </c>
      <c r="K117" s="2" t="s">
        <v>308</v>
      </c>
      <c r="L117" s="2">
        <v>17</v>
      </c>
      <c r="M117" s="2" t="s">
        <v>255</v>
      </c>
      <c r="N117" s="2">
        <v>0</v>
      </c>
      <c r="O117" s="2" t="s">
        <v>312</v>
      </c>
      <c r="P117" s="2" t="s">
        <v>313</v>
      </c>
      <c r="Q117" s="2" t="s">
        <v>313</v>
      </c>
      <c r="R117" s="2" t="s">
        <v>313</v>
      </c>
      <c r="S117" s="2" t="s">
        <v>312</v>
      </c>
      <c r="T117" s="2" t="s">
        <v>314</v>
      </c>
      <c r="U117" s="2" t="s">
        <v>314</v>
      </c>
      <c r="V117" s="2" t="s">
        <v>315</v>
      </c>
      <c r="W117" s="2" t="s">
        <v>316</v>
      </c>
      <c r="X117" s="2" t="s">
        <v>318</v>
      </c>
      <c r="Y117" s="2" t="s">
        <v>316</v>
      </c>
      <c r="Z117" s="2" t="s">
        <v>311</v>
      </c>
      <c r="AA117" s="2" t="s">
        <v>321</v>
      </c>
      <c r="AB117" s="2" t="s">
        <v>326</v>
      </c>
      <c r="AC117" s="2" t="s">
        <v>1104</v>
      </c>
      <c r="AD117" s="2" t="s">
        <v>1105</v>
      </c>
    </row>
    <row r="118" spans="1:30" hidden="1" x14ac:dyDescent="0.3">
      <c r="A118" s="2" t="s">
        <v>30</v>
      </c>
      <c r="B118" s="2" t="s">
        <v>564</v>
      </c>
      <c r="C118" s="2" t="s">
        <v>189</v>
      </c>
      <c r="D118" s="2">
        <v>26</v>
      </c>
      <c r="E118" s="2" t="s">
        <v>231</v>
      </c>
      <c r="F118" s="2" t="s">
        <v>233</v>
      </c>
      <c r="G118" s="2" t="s">
        <v>238</v>
      </c>
      <c r="H118" s="2" t="s">
        <v>244</v>
      </c>
      <c r="I118" s="2">
        <v>22</v>
      </c>
      <c r="J118" s="2" t="s">
        <v>964</v>
      </c>
      <c r="K118" s="2" t="s">
        <v>309</v>
      </c>
      <c r="L118" s="2">
        <v>4</v>
      </c>
      <c r="M118" s="2" t="s">
        <v>243</v>
      </c>
      <c r="N118" s="2">
        <v>2</v>
      </c>
      <c r="O118" s="2" t="s">
        <v>314</v>
      </c>
      <c r="P118" s="2" t="s">
        <v>314</v>
      </c>
      <c r="Q118" s="2" t="s">
        <v>314</v>
      </c>
      <c r="R118" s="2" t="s">
        <v>313</v>
      </c>
      <c r="S118" s="2" t="s">
        <v>313</v>
      </c>
      <c r="T118" s="2" t="s">
        <v>313</v>
      </c>
      <c r="U118" s="2" t="s">
        <v>313</v>
      </c>
      <c r="V118" s="2" t="s">
        <v>315</v>
      </c>
      <c r="W118" s="2" t="s">
        <v>316</v>
      </c>
      <c r="X118" s="2" t="s">
        <v>318</v>
      </c>
      <c r="Y118" s="2" t="s">
        <v>315</v>
      </c>
      <c r="Z118" s="2" t="s">
        <v>311</v>
      </c>
      <c r="AA118" s="2" t="s">
        <v>316</v>
      </c>
      <c r="AB118" s="2" t="s">
        <v>324</v>
      </c>
      <c r="AC118" s="2" t="s">
        <v>1100</v>
      </c>
      <c r="AD118" s="2" t="s">
        <v>1105</v>
      </c>
    </row>
    <row r="119" spans="1:30" hidden="1" x14ac:dyDescent="0.3">
      <c r="A119" s="2" t="s">
        <v>30</v>
      </c>
      <c r="B119" s="2" t="s">
        <v>558</v>
      </c>
      <c r="C119" s="2" t="s">
        <v>871</v>
      </c>
      <c r="D119" s="2">
        <v>26</v>
      </c>
      <c r="E119" s="2" t="s">
        <v>231</v>
      </c>
      <c r="F119" s="2" t="s">
        <v>234</v>
      </c>
      <c r="G119" s="2" t="s">
        <v>241</v>
      </c>
      <c r="H119" s="2" t="s">
        <v>246</v>
      </c>
      <c r="I119" s="2">
        <v>25</v>
      </c>
      <c r="J119" s="2" t="s">
        <v>304</v>
      </c>
      <c r="K119" s="2" t="s">
        <v>308</v>
      </c>
      <c r="L119" s="2">
        <v>2</v>
      </c>
      <c r="M119" s="2" t="s">
        <v>262</v>
      </c>
      <c r="N119" s="2">
        <v>3</v>
      </c>
      <c r="O119" s="2" t="s">
        <v>312</v>
      </c>
      <c r="P119" s="2" t="s">
        <v>311</v>
      </c>
      <c r="Q119" s="2" t="s">
        <v>311</v>
      </c>
      <c r="R119" s="2" t="s">
        <v>314</v>
      </c>
      <c r="S119" s="2" t="s">
        <v>313</v>
      </c>
      <c r="T119" s="2" t="s">
        <v>311</v>
      </c>
      <c r="U119" s="2" t="s">
        <v>311</v>
      </c>
      <c r="V119" s="2" t="s">
        <v>315</v>
      </c>
      <c r="W119" s="2" t="s">
        <v>316</v>
      </c>
      <c r="X119" s="2" t="s">
        <v>318</v>
      </c>
      <c r="Y119" s="2" t="s">
        <v>315</v>
      </c>
      <c r="Z119" s="2" t="s">
        <v>311</v>
      </c>
      <c r="AA119" s="2" t="s">
        <v>315</v>
      </c>
      <c r="AB119" s="2" t="s">
        <v>326</v>
      </c>
      <c r="AC119" s="2" t="s">
        <v>1099</v>
      </c>
      <c r="AD119" s="2" t="s">
        <v>1105</v>
      </c>
    </row>
    <row r="120" spans="1:30" hidden="1" x14ac:dyDescent="0.3">
      <c r="A120" s="1">
        <v>45687.589224537027</v>
      </c>
      <c r="B120" s="2" t="s">
        <v>82</v>
      </c>
      <c r="C120" s="2" t="s">
        <v>143</v>
      </c>
      <c r="D120" s="2">
        <v>27</v>
      </c>
      <c r="E120" s="2" t="s">
        <v>231</v>
      </c>
      <c r="F120" s="2" t="s">
        <v>233</v>
      </c>
      <c r="G120" s="2" t="s">
        <v>239</v>
      </c>
      <c r="H120" s="2" t="s">
        <v>244</v>
      </c>
      <c r="I120" s="2">
        <v>6</v>
      </c>
      <c r="J120" s="2" t="s">
        <v>281</v>
      </c>
      <c r="K120" s="2" t="s">
        <v>309</v>
      </c>
      <c r="L120" s="2">
        <v>18</v>
      </c>
      <c r="M120" s="2" t="s">
        <v>275</v>
      </c>
      <c r="N120" s="2">
        <v>3</v>
      </c>
      <c r="O120" s="2" t="s">
        <v>314</v>
      </c>
      <c r="P120" s="2" t="s">
        <v>312</v>
      </c>
      <c r="Q120" s="2" t="s">
        <v>313</v>
      </c>
      <c r="R120" s="2" t="s">
        <v>314</v>
      </c>
      <c r="S120" s="2" t="s">
        <v>312</v>
      </c>
      <c r="T120" s="2" t="s">
        <v>311</v>
      </c>
      <c r="U120" s="2" t="s">
        <v>314</v>
      </c>
      <c r="V120" s="2" t="s">
        <v>315</v>
      </c>
      <c r="W120" s="2" t="s">
        <v>316</v>
      </c>
      <c r="X120" s="2" t="s">
        <v>319</v>
      </c>
      <c r="Y120" s="2" t="s">
        <v>315</v>
      </c>
      <c r="Z120" s="2" t="s">
        <v>311</v>
      </c>
      <c r="AA120" s="2" t="s">
        <v>321</v>
      </c>
      <c r="AB120" s="2" t="s">
        <v>323</v>
      </c>
      <c r="AC120" s="2" t="s">
        <v>378</v>
      </c>
      <c r="AD120" s="2" t="s">
        <v>478</v>
      </c>
    </row>
    <row r="121" spans="1:30" hidden="1" x14ac:dyDescent="0.3">
      <c r="A121" s="1">
        <v>45779.193252314813</v>
      </c>
      <c r="B121" s="2" t="s">
        <v>59</v>
      </c>
      <c r="C121" s="2" t="s">
        <v>172</v>
      </c>
      <c r="D121" s="2">
        <v>30</v>
      </c>
      <c r="E121" s="2" t="s">
        <v>231</v>
      </c>
      <c r="F121" s="2" t="s">
        <v>234</v>
      </c>
      <c r="G121" s="2" t="s">
        <v>238</v>
      </c>
      <c r="H121" s="2" t="s">
        <v>246</v>
      </c>
      <c r="I121" s="2">
        <v>5</v>
      </c>
      <c r="J121" s="2" t="s">
        <v>241</v>
      </c>
      <c r="K121" s="2" t="s">
        <v>309</v>
      </c>
      <c r="L121" s="2">
        <v>14</v>
      </c>
      <c r="M121" s="2" t="s">
        <v>249</v>
      </c>
      <c r="N121" s="2">
        <v>0</v>
      </c>
      <c r="O121" s="2" t="s">
        <v>313</v>
      </c>
      <c r="P121" s="2" t="s">
        <v>311</v>
      </c>
      <c r="Q121" s="2" t="s">
        <v>312</v>
      </c>
      <c r="R121" s="2" t="s">
        <v>313</v>
      </c>
      <c r="S121" s="2" t="s">
        <v>313</v>
      </c>
      <c r="T121" s="2" t="s">
        <v>314</v>
      </c>
      <c r="U121" s="2" t="s">
        <v>311</v>
      </c>
      <c r="V121" s="2" t="s">
        <v>315</v>
      </c>
      <c r="W121" s="2" t="s">
        <v>316</v>
      </c>
      <c r="X121" s="2" t="s">
        <v>318</v>
      </c>
      <c r="Y121" s="2" t="s">
        <v>316</v>
      </c>
      <c r="Z121" s="2" t="s">
        <v>311</v>
      </c>
      <c r="AA121" s="2" t="s">
        <v>316</v>
      </c>
      <c r="AB121" s="2" t="s">
        <v>325</v>
      </c>
      <c r="AC121" s="2" t="s">
        <v>355</v>
      </c>
      <c r="AD121" s="2" t="s">
        <v>455</v>
      </c>
    </row>
    <row r="122" spans="1:30" hidden="1" x14ac:dyDescent="0.3">
      <c r="A122" s="2" t="s">
        <v>30</v>
      </c>
      <c r="B122" s="2" t="s">
        <v>531</v>
      </c>
      <c r="C122" s="2" t="s">
        <v>730</v>
      </c>
      <c r="D122" s="2">
        <v>32</v>
      </c>
      <c r="E122" s="2" t="s">
        <v>231</v>
      </c>
      <c r="F122" s="2" t="s">
        <v>233</v>
      </c>
      <c r="G122" s="2" t="s">
        <v>240</v>
      </c>
      <c r="H122" s="2" t="s">
        <v>246</v>
      </c>
      <c r="I122" s="2">
        <v>12</v>
      </c>
      <c r="J122" s="2" t="s">
        <v>972</v>
      </c>
      <c r="K122" s="2" t="s">
        <v>308</v>
      </c>
      <c r="L122" s="2">
        <v>2</v>
      </c>
      <c r="M122" s="2" t="s">
        <v>249</v>
      </c>
      <c r="N122" s="2">
        <v>3</v>
      </c>
      <c r="O122" s="2" t="s">
        <v>312</v>
      </c>
      <c r="P122" s="2" t="s">
        <v>314</v>
      </c>
      <c r="Q122" s="2" t="s">
        <v>311</v>
      </c>
      <c r="R122" s="2" t="s">
        <v>313</v>
      </c>
      <c r="S122" s="2" t="s">
        <v>314</v>
      </c>
      <c r="T122" s="2" t="s">
        <v>314</v>
      </c>
      <c r="U122" s="2" t="s">
        <v>314</v>
      </c>
      <c r="V122" s="2" t="s">
        <v>315</v>
      </c>
      <c r="W122" s="2" t="s">
        <v>316</v>
      </c>
      <c r="X122" s="2" t="s">
        <v>320</v>
      </c>
      <c r="Y122" s="2" t="s">
        <v>315</v>
      </c>
      <c r="Z122" s="2" t="s">
        <v>311</v>
      </c>
      <c r="AA122" s="2" t="s">
        <v>316</v>
      </c>
      <c r="AB122" s="2" t="s">
        <v>324</v>
      </c>
      <c r="AC122" s="2" t="s">
        <v>1104</v>
      </c>
      <c r="AD122" s="2" t="s">
        <v>1105</v>
      </c>
    </row>
    <row r="123" spans="1:30" x14ac:dyDescent="0.3">
      <c r="A123" s="2" t="s">
        <v>30</v>
      </c>
      <c r="B123" s="2" t="s">
        <v>547</v>
      </c>
      <c r="C123" s="2" t="s">
        <v>685</v>
      </c>
      <c r="D123" s="2">
        <v>32</v>
      </c>
      <c r="E123" s="2" t="s">
        <v>232</v>
      </c>
      <c r="F123" s="2" t="s">
        <v>235</v>
      </c>
      <c r="G123" s="2" t="s">
        <v>241</v>
      </c>
      <c r="H123" s="2" t="s">
        <v>246</v>
      </c>
      <c r="I123" s="2">
        <v>10</v>
      </c>
      <c r="J123" s="2" t="s">
        <v>287</v>
      </c>
      <c r="K123" s="2" t="s">
        <v>309</v>
      </c>
      <c r="L123" s="2">
        <v>11</v>
      </c>
      <c r="M123" s="2" t="s">
        <v>255</v>
      </c>
      <c r="N123" s="2">
        <v>3</v>
      </c>
      <c r="O123" s="2" t="s">
        <v>313</v>
      </c>
      <c r="P123" s="2" t="s">
        <v>314</v>
      </c>
      <c r="Q123" s="2" t="s">
        <v>314</v>
      </c>
      <c r="R123" s="2" t="s">
        <v>313</v>
      </c>
      <c r="S123" s="2" t="s">
        <v>311</v>
      </c>
      <c r="T123" s="2" t="s">
        <v>313</v>
      </c>
      <c r="U123" s="2" t="s">
        <v>313</v>
      </c>
      <c r="V123" s="2" t="s">
        <v>315</v>
      </c>
      <c r="W123" s="2" t="s">
        <v>316</v>
      </c>
      <c r="X123" s="2" t="s">
        <v>320</v>
      </c>
      <c r="Y123" s="2" t="s">
        <v>315</v>
      </c>
      <c r="Z123" s="2" t="s">
        <v>311</v>
      </c>
      <c r="AA123" s="2" t="s">
        <v>316</v>
      </c>
      <c r="AB123" s="2" t="s">
        <v>324</v>
      </c>
      <c r="AC123" s="2" t="s">
        <v>1102</v>
      </c>
      <c r="AD123" s="2" t="s">
        <v>1105</v>
      </c>
    </row>
    <row r="124" spans="1:30" x14ac:dyDescent="0.3">
      <c r="A124" s="2" t="s">
        <v>30</v>
      </c>
      <c r="B124" s="2" t="s">
        <v>603</v>
      </c>
      <c r="C124" s="2" t="s">
        <v>908</v>
      </c>
      <c r="D124" s="2">
        <v>36</v>
      </c>
      <c r="E124" s="2" t="s">
        <v>232</v>
      </c>
      <c r="F124" s="2" t="s">
        <v>234</v>
      </c>
      <c r="G124" s="2" t="s">
        <v>239</v>
      </c>
      <c r="H124" s="2" t="s">
        <v>245</v>
      </c>
      <c r="I124" s="2">
        <v>13</v>
      </c>
      <c r="J124" s="2" t="s">
        <v>1013</v>
      </c>
      <c r="K124" s="2" t="s">
        <v>310</v>
      </c>
      <c r="L124" s="2">
        <v>3</v>
      </c>
      <c r="M124" s="2" t="s">
        <v>262</v>
      </c>
      <c r="N124" s="2">
        <v>3</v>
      </c>
      <c r="O124" s="2" t="s">
        <v>312</v>
      </c>
      <c r="P124" s="2" t="s">
        <v>312</v>
      </c>
      <c r="Q124" s="2" t="s">
        <v>313</v>
      </c>
      <c r="R124" s="2" t="s">
        <v>311</v>
      </c>
      <c r="S124" s="2" t="s">
        <v>312</v>
      </c>
      <c r="T124" s="2" t="s">
        <v>311</v>
      </c>
      <c r="U124" s="2" t="s">
        <v>311</v>
      </c>
      <c r="V124" s="2" t="s">
        <v>315</v>
      </c>
      <c r="W124" s="2" t="s">
        <v>316</v>
      </c>
      <c r="X124" s="2" t="s">
        <v>319</v>
      </c>
      <c r="Y124" s="2" t="s">
        <v>315</v>
      </c>
      <c r="Z124" s="2" t="s">
        <v>311</v>
      </c>
      <c r="AA124" s="2" t="s">
        <v>1095</v>
      </c>
      <c r="AB124" s="2" t="s">
        <v>326</v>
      </c>
      <c r="AC124" s="2" t="s">
        <v>1097</v>
      </c>
      <c r="AD124" s="2" t="s">
        <v>1105</v>
      </c>
    </row>
    <row r="125" spans="1:30" x14ac:dyDescent="0.3">
      <c r="A125" s="2" t="s">
        <v>30</v>
      </c>
      <c r="B125" s="2" t="s">
        <v>544</v>
      </c>
      <c r="C125" s="2" t="s">
        <v>678</v>
      </c>
      <c r="D125" s="2">
        <v>37</v>
      </c>
      <c r="E125" s="2" t="s">
        <v>232</v>
      </c>
      <c r="F125" s="2" t="s">
        <v>236</v>
      </c>
      <c r="G125" s="2" t="s">
        <v>243</v>
      </c>
      <c r="H125" s="2" t="s">
        <v>245</v>
      </c>
      <c r="I125" s="2">
        <v>18</v>
      </c>
      <c r="J125" s="2" t="s">
        <v>243</v>
      </c>
      <c r="K125" s="2" t="s">
        <v>308</v>
      </c>
      <c r="L125" s="2">
        <v>11</v>
      </c>
      <c r="M125" s="2" t="s">
        <v>251</v>
      </c>
      <c r="N125" s="2">
        <v>2</v>
      </c>
      <c r="O125" s="2" t="s">
        <v>312</v>
      </c>
      <c r="P125" s="2" t="s">
        <v>311</v>
      </c>
      <c r="Q125" s="2" t="s">
        <v>313</v>
      </c>
      <c r="R125" s="2" t="s">
        <v>313</v>
      </c>
      <c r="S125" s="2" t="s">
        <v>311</v>
      </c>
      <c r="T125" s="2" t="s">
        <v>312</v>
      </c>
      <c r="U125" s="2" t="s">
        <v>312</v>
      </c>
      <c r="V125" s="2" t="s">
        <v>315</v>
      </c>
      <c r="W125" s="2" t="s">
        <v>316</v>
      </c>
      <c r="X125" s="2" t="s">
        <v>319</v>
      </c>
      <c r="Y125" s="2" t="s">
        <v>315</v>
      </c>
      <c r="Z125" s="2" t="s">
        <v>311</v>
      </c>
      <c r="AA125" s="2" t="s">
        <v>321</v>
      </c>
      <c r="AB125" s="2" t="s">
        <v>326</v>
      </c>
      <c r="AC125" s="2" t="s">
        <v>1098</v>
      </c>
      <c r="AD125" s="2" t="s">
        <v>1105</v>
      </c>
    </row>
    <row r="126" spans="1:30" hidden="1" x14ac:dyDescent="0.3">
      <c r="A126" s="2" t="s">
        <v>30</v>
      </c>
      <c r="B126" s="2" t="s">
        <v>551</v>
      </c>
      <c r="C126" s="2" t="s">
        <v>947</v>
      </c>
      <c r="D126" s="2">
        <v>38</v>
      </c>
      <c r="E126" s="2" t="s">
        <v>231</v>
      </c>
      <c r="F126" s="2" t="s">
        <v>237</v>
      </c>
      <c r="G126" s="2" t="s">
        <v>241</v>
      </c>
      <c r="H126" s="2" t="s">
        <v>245</v>
      </c>
      <c r="I126" s="2">
        <v>11</v>
      </c>
      <c r="J126" s="2" t="s">
        <v>967</v>
      </c>
      <c r="K126" s="2" t="s">
        <v>308</v>
      </c>
      <c r="L126" s="2">
        <v>15</v>
      </c>
      <c r="M126" s="2" t="s">
        <v>255</v>
      </c>
      <c r="N126" s="2">
        <v>2</v>
      </c>
      <c r="O126" s="2" t="s">
        <v>311</v>
      </c>
      <c r="P126" s="2" t="s">
        <v>314</v>
      </c>
      <c r="Q126" s="2" t="s">
        <v>313</v>
      </c>
      <c r="R126" s="2" t="s">
        <v>311</v>
      </c>
      <c r="S126" s="2" t="s">
        <v>312</v>
      </c>
      <c r="T126" s="2" t="s">
        <v>312</v>
      </c>
      <c r="U126" s="2" t="s">
        <v>312</v>
      </c>
      <c r="V126" s="2" t="s">
        <v>315</v>
      </c>
      <c r="W126" s="2" t="s">
        <v>316</v>
      </c>
      <c r="X126" s="2" t="s">
        <v>320</v>
      </c>
      <c r="Y126" s="2" t="s">
        <v>315</v>
      </c>
      <c r="Z126" s="2" t="s">
        <v>311</v>
      </c>
      <c r="AA126" s="2" t="s">
        <v>1095</v>
      </c>
      <c r="AB126" s="2" t="s">
        <v>324</v>
      </c>
      <c r="AC126" s="2" t="s">
        <v>1103</v>
      </c>
      <c r="AD126" s="2" t="s">
        <v>1105</v>
      </c>
    </row>
    <row r="127" spans="1:30" hidden="1" x14ac:dyDescent="0.3">
      <c r="A127" s="2" t="s">
        <v>30</v>
      </c>
      <c r="B127" s="2" t="s">
        <v>569</v>
      </c>
      <c r="C127" s="2" t="s">
        <v>171</v>
      </c>
      <c r="D127" s="2">
        <v>38</v>
      </c>
      <c r="E127" s="2" t="s">
        <v>231</v>
      </c>
      <c r="F127" s="2" t="s">
        <v>236</v>
      </c>
      <c r="G127" s="2" t="s">
        <v>242</v>
      </c>
      <c r="H127" s="2" t="s">
        <v>245</v>
      </c>
      <c r="I127" s="2">
        <v>15</v>
      </c>
      <c r="J127" s="2" t="s">
        <v>981</v>
      </c>
      <c r="K127" s="2" t="s">
        <v>310</v>
      </c>
      <c r="L127" s="2">
        <v>10</v>
      </c>
      <c r="M127" s="2" t="s">
        <v>241</v>
      </c>
      <c r="N127" s="2">
        <v>0</v>
      </c>
      <c r="O127" s="2" t="s">
        <v>312</v>
      </c>
      <c r="P127" s="2" t="s">
        <v>312</v>
      </c>
      <c r="Q127" s="2" t="s">
        <v>311</v>
      </c>
      <c r="R127" s="2" t="s">
        <v>312</v>
      </c>
      <c r="S127" s="2" t="s">
        <v>314</v>
      </c>
      <c r="T127" s="2" t="s">
        <v>312</v>
      </c>
      <c r="U127" s="2" t="s">
        <v>312</v>
      </c>
      <c r="V127" s="2" t="s">
        <v>315</v>
      </c>
      <c r="W127" s="2" t="s">
        <v>316</v>
      </c>
      <c r="X127" s="2" t="s">
        <v>319</v>
      </c>
      <c r="Y127" s="2" t="s">
        <v>315</v>
      </c>
      <c r="Z127" s="2" t="s">
        <v>311</v>
      </c>
      <c r="AA127" s="2" t="s">
        <v>315</v>
      </c>
      <c r="AB127" s="2" t="s">
        <v>324</v>
      </c>
      <c r="AC127" s="2" t="s">
        <v>1103</v>
      </c>
      <c r="AD127" s="2" t="s">
        <v>1105</v>
      </c>
    </row>
    <row r="128" spans="1:30" x14ac:dyDescent="0.3">
      <c r="A128" s="2" t="s">
        <v>30</v>
      </c>
      <c r="B128" s="2" t="s">
        <v>651</v>
      </c>
      <c r="C128" s="2" t="s">
        <v>153</v>
      </c>
      <c r="D128" s="2">
        <v>39</v>
      </c>
      <c r="E128" s="2" t="s">
        <v>232</v>
      </c>
      <c r="F128" s="2" t="s">
        <v>233</v>
      </c>
      <c r="G128" s="2" t="s">
        <v>243</v>
      </c>
      <c r="H128" s="2" t="s">
        <v>244</v>
      </c>
      <c r="I128" s="2">
        <v>21</v>
      </c>
      <c r="J128" s="2" t="s">
        <v>1068</v>
      </c>
      <c r="K128" s="2" t="s">
        <v>309</v>
      </c>
      <c r="L128" s="2">
        <v>12</v>
      </c>
      <c r="M128" s="2" t="s">
        <v>251</v>
      </c>
      <c r="N128" s="2">
        <v>0</v>
      </c>
      <c r="O128" s="2" t="s">
        <v>313</v>
      </c>
      <c r="P128" s="2" t="s">
        <v>311</v>
      </c>
      <c r="Q128" s="2" t="s">
        <v>311</v>
      </c>
      <c r="R128" s="2" t="s">
        <v>311</v>
      </c>
      <c r="S128" s="2" t="s">
        <v>311</v>
      </c>
      <c r="T128" s="2" t="s">
        <v>313</v>
      </c>
      <c r="U128" s="2" t="s">
        <v>313</v>
      </c>
      <c r="V128" s="2" t="s">
        <v>315</v>
      </c>
      <c r="W128" s="2" t="s">
        <v>316</v>
      </c>
      <c r="X128" s="2" t="s">
        <v>319</v>
      </c>
      <c r="Y128" s="2" t="s">
        <v>315</v>
      </c>
      <c r="Z128" s="2" t="s">
        <v>311</v>
      </c>
      <c r="AA128" s="2" t="s">
        <v>316</v>
      </c>
      <c r="AB128" s="2" t="s">
        <v>324</v>
      </c>
      <c r="AC128" s="2" t="s">
        <v>1096</v>
      </c>
      <c r="AD128" s="2" t="s">
        <v>1105</v>
      </c>
    </row>
    <row r="129" spans="1:30" hidden="1" x14ac:dyDescent="0.3">
      <c r="A129" s="2" t="s">
        <v>30</v>
      </c>
      <c r="B129" s="2" t="s">
        <v>559</v>
      </c>
      <c r="C129" s="2" t="s">
        <v>855</v>
      </c>
      <c r="D129" s="2">
        <v>40</v>
      </c>
      <c r="E129" s="2" t="s">
        <v>231</v>
      </c>
      <c r="F129" s="2" t="s">
        <v>233</v>
      </c>
      <c r="G129" s="2" t="s">
        <v>242</v>
      </c>
      <c r="H129" s="2" t="s">
        <v>245</v>
      </c>
      <c r="I129" s="2">
        <v>30</v>
      </c>
      <c r="J129" s="2" t="s">
        <v>973</v>
      </c>
      <c r="K129" s="2" t="s">
        <v>309</v>
      </c>
      <c r="L129" s="2">
        <v>18</v>
      </c>
      <c r="M129" s="2" t="s">
        <v>251</v>
      </c>
      <c r="N129" s="2">
        <v>0</v>
      </c>
      <c r="O129" s="2" t="s">
        <v>311</v>
      </c>
      <c r="P129" s="2" t="s">
        <v>312</v>
      </c>
      <c r="Q129" s="2" t="s">
        <v>312</v>
      </c>
      <c r="R129" s="2" t="s">
        <v>314</v>
      </c>
      <c r="S129" s="2" t="s">
        <v>314</v>
      </c>
      <c r="T129" s="2" t="s">
        <v>311</v>
      </c>
      <c r="U129" s="2" t="s">
        <v>311</v>
      </c>
      <c r="V129" s="2" t="s">
        <v>315</v>
      </c>
      <c r="W129" s="2" t="s">
        <v>316</v>
      </c>
      <c r="X129" s="2" t="s">
        <v>320</v>
      </c>
      <c r="Y129" s="2" t="s">
        <v>316</v>
      </c>
      <c r="Z129" s="2" t="s">
        <v>311</v>
      </c>
      <c r="AA129" s="2" t="s">
        <v>1095</v>
      </c>
      <c r="AB129" s="2" t="s">
        <v>324</v>
      </c>
      <c r="AC129" s="2" t="s">
        <v>1102</v>
      </c>
      <c r="AD129" s="2" t="s">
        <v>1105</v>
      </c>
    </row>
    <row r="130" spans="1:30" hidden="1" x14ac:dyDescent="0.3">
      <c r="A130" s="2" t="s">
        <v>30</v>
      </c>
      <c r="B130" s="2" t="s">
        <v>584</v>
      </c>
      <c r="C130" s="2" t="s">
        <v>679</v>
      </c>
      <c r="D130" s="2">
        <v>40</v>
      </c>
      <c r="E130" s="2" t="s">
        <v>231</v>
      </c>
      <c r="F130" s="2" t="s">
        <v>233</v>
      </c>
      <c r="G130" s="2" t="s">
        <v>240</v>
      </c>
      <c r="H130" s="2" t="s">
        <v>246</v>
      </c>
      <c r="I130" s="2">
        <v>4</v>
      </c>
      <c r="J130" s="2" t="s">
        <v>1073</v>
      </c>
      <c r="K130" s="2" t="s">
        <v>309</v>
      </c>
      <c r="L130" s="2">
        <v>9</v>
      </c>
      <c r="M130" s="2" t="s">
        <v>249</v>
      </c>
      <c r="N130" s="2">
        <v>3</v>
      </c>
      <c r="O130" s="2" t="s">
        <v>311</v>
      </c>
      <c r="P130" s="2" t="s">
        <v>312</v>
      </c>
      <c r="Q130" s="2" t="s">
        <v>312</v>
      </c>
      <c r="R130" s="2" t="s">
        <v>311</v>
      </c>
      <c r="S130" s="2" t="s">
        <v>311</v>
      </c>
      <c r="T130" s="2" t="s">
        <v>314</v>
      </c>
      <c r="U130" s="2" t="s">
        <v>314</v>
      </c>
      <c r="V130" s="2" t="s">
        <v>315</v>
      </c>
      <c r="W130" s="2" t="s">
        <v>316</v>
      </c>
      <c r="X130" s="2" t="s">
        <v>319</v>
      </c>
      <c r="Y130" s="2" t="s">
        <v>316</v>
      </c>
      <c r="Z130" s="2" t="s">
        <v>311</v>
      </c>
      <c r="AA130" s="2" t="s">
        <v>315</v>
      </c>
      <c r="AB130" s="2" t="s">
        <v>326</v>
      </c>
      <c r="AC130" s="2" t="s">
        <v>1098</v>
      </c>
      <c r="AD130" s="2" t="s">
        <v>1105</v>
      </c>
    </row>
    <row r="131" spans="1:30" hidden="1" x14ac:dyDescent="0.3">
      <c r="A131" s="1">
        <v>45787.759039351848</v>
      </c>
      <c r="B131" s="2" t="s">
        <v>96</v>
      </c>
      <c r="C131" s="2" t="s">
        <v>729</v>
      </c>
      <c r="D131" s="2">
        <v>47</v>
      </c>
      <c r="E131" s="2" t="s">
        <v>231</v>
      </c>
      <c r="F131" s="2" t="s">
        <v>233</v>
      </c>
      <c r="G131" s="2" t="s">
        <v>242</v>
      </c>
      <c r="H131" s="2" t="s">
        <v>245</v>
      </c>
      <c r="I131" s="2">
        <v>13</v>
      </c>
      <c r="J131" s="2" t="s">
        <v>291</v>
      </c>
      <c r="K131" s="2" t="s">
        <v>310</v>
      </c>
      <c r="L131" s="2">
        <v>9</v>
      </c>
      <c r="M131" s="2" t="s">
        <v>275</v>
      </c>
      <c r="N131" s="2">
        <v>3</v>
      </c>
      <c r="O131" s="2" t="s">
        <v>312</v>
      </c>
      <c r="P131" s="2" t="s">
        <v>312</v>
      </c>
      <c r="Q131" s="2" t="s">
        <v>312</v>
      </c>
      <c r="R131" s="2" t="s">
        <v>313</v>
      </c>
      <c r="S131" s="2" t="s">
        <v>311</v>
      </c>
      <c r="T131" s="2" t="s">
        <v>311</v>
      </c>
      <c r="U131" s="2" t="s">
        <v>311</v>
      </c>
      <c r="V131" s="2" t="s">
        <v>315</v>
      </c>
      <c r="W131" s="2" t="s">
        <v>316</v>
      </c>
      <c r="X131" s="2" t="s">
        <v>318</v>
      </c>
      <c r="Y131" s="2" t="s">
        <v>316</v>
      </c>
      <c r="Z131" s="2" t="s">
        <v>311</v>
      </c>
      <c r="AA131" s="2" t="s">
        <v>322</v>
      </c>
      <c r="AB131" s="2" t="s">
        <v>326</v>
      </c>
      <c r="AC131" s="2" t="s">
        <v>392</v>
      </c>
      <c r="AD131" s="2" t="s">
        <v>492</v>
      </c>
    </row>
    <row r="132" spans="1:30" hidden="1" x14ac:dyDescent="0.3">
      <c r="A132" s="2" t="s">
        <v>30</v>
      </c>
      <c r="B132" s="2" t="s">
        <v>559</v>
      </c>
      <c r="C132" s="2" t="s">
        <v>750</v>
      </c>
      <c r="D132" s="2">
        <v>49</v>
      </c>
      <c r="E132" s="2" t="s">
        <v>231</v>
      </c>
      <c r="F132" s="2" t="s">
        <v>234</v>
      </c>
      <c r="G132" s="2" t="s">
        <v>243</v>
      </c>
      <c r="H132" s="2" t="s">
        <v>244</v>
      </c>
      <c r="I132" s="2">
        <v>24</v>
      </c>
      <c r="J132" s="2" t="s">
        <v>976</v>
      </c>
      <c r="K132" s="2" t="s">
        <v>310</v>
      </c>
      <c r="L132" s="2">
        <v>13</v>
      </c>
      <c r="M132" s="2" t="s">
        <v>243</v>
      </c>
      <c r="N132" s="2">
        <v>3</v>
      </c>
      <c r="O132" s="2" t="s">
        <v>312</v>
      </c>
      <c r="P132" s="2" t="s">
        <v>313</v>
      </c>
      <c r="Q132" s="2" t="s">
        <v>314</v>
      </c>
      <c r="R132" s="2" t="s">
        <v>314</v>
      </c>
      <c r="S132" s="2" t="s">
        <v>311</v>
      </c>
      <c r="T132" s="2" t="s">
        <v>311</v>
      </c>
      <c r="U132" s="2" t="s">
        <v>311</v>
      </c>
      <c r="V132" s="2" t="s">
        <v>315</v>
      </c>
      <c r="W132" s="2" t="s">
        <v>316</v>
      </c>
      <c r="X132" s="2" t="s">
        <v>320</v>
      </c>
      <c r="Y132" s="2" t="s">
        <v>315</v>
      </c>
      <c r="Z132" s="2" t="s">
        <v>311</v>
      </c>
      <c r="AA132" s="2" t="s">
        <v>315</v>
      </c>
      <c r="AB132" s="2" t="s">
        <v>325</v>
      </c>
      <c r="AC132" s="2" t="s">
        <v>1100</v>
      </c>
      <c r="AD132" s="2" t="s">
        <v>1105</v>
      </c>
    </row>
    <row r="133" spans="1:30" x14ac:dyDescent="0.3">
      <c r="A133" s="2" t="s">
        <v>30</v>
      </c>
      <c r="B133" s="2" t="s">
        <v>564</v>
      </c>
      <c r="C133" s="2" t="s">
        <v>769</v>
      </c>
      <c r="D133" s="2">
        <v>49</v>
      </c>
      <c r="E133" s="2" t="s">
        <v>232</v>
      </c>
      <c r="F133" s="2" t="s">
        <v>234</v>
      </c>
      <c r="G133" s="2" t="s">
        <v>241</v>
      </c>
      <c r="H133" s="2" t="s">
        <v>245</v>
      </c>
      <c r="I133" s="2">
        <v>13</v>
      </c>
      <c r="J133" s="2" t="s">
        <v>241</v>
      </c>
      <c r="K133" s="2" t="s">
        <v>309</v>
      </c>
      <c r="L133" s="2">
        <v>17</v>
      </c>
      <c r="M133" s="2" t="s">
        <v>262</v>
      </c>
      <c r="N133" s="2">
        <v>1</v>
      </c>
      <c r="O133" s="2" t="s">
        <v>314</v>
      </c>
      <c r="P133" s="2" t="s">
        <v>311</v>
      </c>
      <c r="Q133" s="2" t="s">
        <v>314</v>
      </c>
      <c r="R133" s="2" t="s">
        <v>314</v>
      </c>
      <c r="S133" s="2" t="s">
        <v>312</v>
      </c>
      <c r="T133" s="2" t="s">
        <v>313</v>
      </c>
      <c r="U133" s="2" t="s">
        <v>313</v>
      </c>
      <c r="V133" s="2" t="s">
        <v>315</v>
      </c>
      <c r="W133" s="2" t="s">
        <v>316</v>
      </c>
      <c r="X133" s="2" t="s">
        <v>317</v>
      </c>
      <c r="Y133" s="2" t="s">
        <v>316</v>
      </c>
      <c r="Z133" s="2" t="s">
        <v>311</v>
      </c>
      <c r="AA133" s="2" t="s">
        <v>315</v>
      </c>
      <c r="AB133" s="2" t="s">
        <v>325</v>
      </c>
      <c r="AC133" s="2" t="s">
        <v>1103</v>
      </c>
      <c r="AD133" s="2" t="s">
        <v>1105</v>
      </c>
    </row>
    <row r="134" spans="1:30" x14ac:dyDescent="0.3">
      <c r="A134" s="2" t="s">
        <v>30</v>
      </c>
      <c r="B134" s="2" t="s">
        <v>632</v>
      </c>
      <c r="C134" s="2" t="s">
        <v>824</v>
      </c>
      <c r="D134" s="2">
        <v>50</v>
      </c>
      <c r="E134" s="2" t="s">
        <v>232</v>
      </c>
      <c r="F134" s="2" t="s">
        <v>233</v>
      </c>
      <c r="G134" s="2" t="s">
        <v>242</v>
      </c>
      <c r="H134" s="2" t="s">
        <v>245</v>
      </c>
      <c r="I134" s="2">
        <v>7</v>
      </c>
      <c r="J134" s="2" t="s">
        <v>243</v>
      </c>
      <c r="K134" s="2" t="s">
        <v>309</v>
      </c>
      <c r="L134" s="2">
        <v>10</v>
      </c>
      <c r="M134" s="2" t="s">
        <v>251</v>
      </c>
      <c r="N134" s="2">
        <v>1</v>
      </c>
      <c r="O134" s="2" t="s">
        <v>311</v>
      </c>
      <c r="P134" s="2" t="s">
        <v>311</v>
      </c>
      <c r="Q134" s="2" t="s">
        <v>314</v>
      </c>
      <c r="R134" s="2" t="s">
        <v>312</v>
      </c>
      <c r="S134" s="2" t="s">
        <v>314</v>
      </c>
      <c r="T134" s="2" t="s">
        <v>314</v>
      </c>
      <c r="U134" s="2" t="s">
        <v>314</v>
      </c>
      <c r="V134" s="2" t="s">
        <v>315</v>
      </c>
      <c r="W134" s="2" t="s">
        <v>316</v>
      </c>
      <c r="X134" s="2" t="s">
        <v>320</v>
      </c>
      <c r="Y134" s="2" t="s">
        <v>315</v>
      </c>
      <c r="Z134" s="2" t="s">
        <v>311</v>
      </c>
      <c r="AA134" s="2" t="s">
        <v>1095</v>
      </c>
      <c r="AB134" s="2" t="s">
        <v>326</v>
      </c>
      <c r="AC134" s="2" t="s">
        <v>1103</v>
      </c>
      <c r="AD134" s="2" t="s">
        <v>1105</v>
      </c>
    </row>
    <row r="135" spans="1:30" x14ac:dyDescent="0.3">
      <c r="A135" s="1">
        <v>45749.507835648154</v>
      </c>
      <c r="B135" s="2" t="s">
        <v>92</v>
      </c>
      <c r="C135" s="2" t="s">
        <v>812</v>
      </c>
      <c r="D135" s="2">
        <v>53</v>
      </c>
      <c r="E135" s="2" t="s">
        <v>232</v>
      </c>
      <c r="F135" s="2" t="s">
        <v>235</v>
      </c>
      <c r="G135" s="2" t="s">
        <v>242</v>
      </c>
      <c r="H135" s="2" t="s">
        <v>246</v>
      </c>
      <c r="I135" s="2">
        <v>23</v>
      </c>
      <c r="J135" s="2" t="s">
        <v>287</v>
      </c>
      <c r="K135" s="2" t="s">
        <v>308</v>
      </c>
      <c r="L135" s="2">
        <v>20</v>
      </c>
      <c r="M135" s="2" t="s">
        <v>262</v>
      </c>
      <c r="N135" s="2">
        <v>1</v>
      </c>
      <c r="O135" s="2" t="s">
        <v>312</v>
      </c>
      <c r="P135" s="2" t="s">
        <v>311</v>
      </c>
      <c r="Q135" s="2" t="s">
        <v>312</v>
      </c>
      <c r="R135" s="2" t="s">
        <v>314</v>
      </c>
      <c r="S135" s="2" t="s">
        <v>311</v>
      </c>
      <c r="T135" s="2" t="s">
        <v>312</v>
      </c>
      <c r="U135" s="2" t="s">
        <v>311</v>
      </c>
      <c r="V135" s="2" t="s">
        <v>315</v>
      </c>
      <c r="W135" s="2" t="s">
        <v>316</v>
      </c>
      <c r="X135" s="2" t="s">
        <v>317</v>
      </c>
      <c r="Y135" s="2" t="s">
        <v>316</v>
      </c>
      <c r="Z135" s="2" t="s">
        <v>311</v>
      </c>
      <c r="AA135" s="2" t="s">
        <v>316</v>
      </c>
      <c r="AB135" s="2" t="s">
        <v>325</v>
      </c>
      <c r="AC135" s="2" t="s">
        <v>388</v>
      </c>
      <c r="AD135" s="2" t="s">
        <v>488</v>
      </c>
    </row>
    <row r="136" spans="1:30" x14ac:dyDescent="0.3">
      <c r="A136" s="2" t="s">
        <v>30</v>
      </c>
      <c r="B136" s="2" t="s">
        <v>541</v>
      </c>
      <c r="C136" s="2" t="s">
        <v>805</v>
      </c>
      <c r="D136" s="2">
        <v>54</v>
      </c>
      <c r="E136" s="2" t="s">
        <v>232</v>
      </c>
      <c r="F136" s="2" t="s">
        <v>233</v>
      </c>
      <c r="G136" s="2" t="s">
        <v>238</v>
      </c>
      <c r="H136" s="2" t="s">
        <v>244</v>
      </c>
      <c r="I136" s="2">
        <v>27</v>
      </c>
      <c r="J136" s="2" t="s">
        <v>959</v>
      </c>
      <c r="K136" s="2" t="s">
        <v>309</v>
      </c>
      <c r="L136" s="2">
        <v>4</v>
      </c>
      <c r="M136" s="2" t="s">
        <v>255</v>
      </c>
      <c r="N136" s="2">
        <v>0</v>
      </c>
      <c r="O136" s="2" t="s">
        <v>314</v>
      </c>
      <c r="P136" s="2" t="s">
        <v>312</v>
      </c>
      <c r="Q136" s="2" t="s">
        <v>313</v>
      </c>
      <c r="R136" s="2" t="s">
        <v>312</v>
      </c>
      <c r="S136" s="2" t="s">
        <v>314</v>
      </c>
      <c r="T136" s="2" t="s">
        <v>311</v>
      </c>
      <c r="U136" s="2" t="s">
        <v>311</v>
      </c>
      <c r="V136" s="2" t="s">
        <v>315</v>
      </c>
      <c r="W136" s="2" t="s">
        <v>316</v>
      </c>
      <c r="X136" s="2" t="s">
        <v>317</v>
      </c>
      <c r="Y136" s="2" t="s">
        <v>316</v>
      </c>
      <c r="Z136" s="2" t="s">
        <v>311</v>
      </c>
      <c r="AA136" s="2" t="s">
        <v>315</v>
      </c>
      <c r="AB136" s="2" t="s">
        <v>325</v>
      </c>
      <c r="AC136" s="2" t="s">
        <v>1096</v>
      </c>
      <c r="AD136" s="2" t="s">
        <v>1105</v>
      </c>
    </row>
    <row r="137" spans="1:30" hidden="1" x14ac:dyDescent="0.3">
      <c r="A137" s="2" t="s">
        <v>30</v>
      </c>
      <c r="B137" s="2" t="s">
        <v>615</v>
      </c>
      <c r="C137" s="2" t="s">
        <v>852</v>
      </c>
      <c r="D137" s="2">
        <v>56</v>
      </c>
      <c r="E137" s="2" t="s">
        <v>231</v>
      </c>
      <c r="F137" s="2" t="s">
        <v>234</v>
      </c>
      <c r="G137" s="2" t="s">
        <v>240</v>
      </c>
      <c r="H137" s="2" t="s">
        <v>244</v>
      </c>
      <c r="I137" s="2">
        <v>5</v>
      </c>
      <c r="J137" s="2" t="s">
        <v>1043</v>
      </c>
      <c r="K137" s="2" t="s">
        <v>308</v>
      </c>
      <c r="L137" s="2">
        <v>20</v>
      </c>
      <c r="M137" s="2" t="s">
        <v>262</v>
      </c>
      <c r="N137" s="2">
        <v>3</v>
      </c>
      <c r="O137" s="2" t="s">
        <v>314</v>
      </c>
      <c r="P137" s="2" t="s">
        <v>313</v>
      </c>
      <c r="Q137" s="2" t="s">
        <v>311</v>
      </c>
      <c r="R137" s="2" t="s">
        <v>311</v>
      </c>
      <c r="S137" s="2" t="s">
        <v>312</v>
      </c>
      <c r="T137" s="2" t="s">
        <v>312</v>
      </c>
      <c r="U137" s="2" t="s">
        <v>312</v>
      </c>
      <c r="V137" s="2" t="s">
        <v>315</v>
      </c>
      <c r="W137" s="2" t="s">
        <v>316</v>
      </c>
      <c r="X137" s="2" t="s">
        <v>317</v>
      </c>
      <c r="Y137" s="2" t="s">
        <v>316</v>
      </c>
      <c r="Z137" s="2" t="s">
        <v>311</v>
      </c>
      <c r="AA137" s="2" t="s">
        <v>315</v>
      </c>
      <c r="AB137" s="2" t="s">
        <v>324</v>
      </c>
      <c r="AC137" s="2" t="s">
        <v>1104</v>
      </c>
      <c r="AD137" s="2" t="s">
        <v>1105</v>
      </c>
    </row>
    <row r="138" spans="1:30" x14ac:dyDescent="0.3">
      <c r="A138" s="2" t="s">
        <v>30</v>
      </c>
      <c r="B138" s="2" t="s">
        <v>562</v>
      </c>
      <c r="C138" s="2" t="s">
        <v>673</v>
      </c>
      <c r="D138" s="2">
        <v>57</v>
      </c>
      <c r="E138" s="2" t="s">
        <v>232</v>
      </c>
      <c r="F138" s="2" t="s">
        <v>235</v>
      </c>
      <c r="G138" s="2" t="s">
        <v>243</v>
      </c>
      <c r="H138" s="2" t="s">
        <v>246</v>
      </c>
      <c r="I138" s="2">
        <v>11</v>
      </c>
      <c r="J138" s="2" t="s">
        <v>975</v>
      </c>
      <c r="K138" s="2" t="s">
        <v>309</v>
      </c>
      <c r="L138" s="2">
        <v>5</v>
      </c>
      <c r="M138" s="2" t="s">
        <v>251</v>
      </c>
      <c r="N138" s="2">
        <v>2</v>
      </c>
      <c r="O138" s="2" t="s">
        <v>312</v>
      </c>
      <c r="P138" s="2" t="s">
        <v>314</v>
      </c>
      <c r="Q138" s="2" t="s">
        <v>311</v>
      </c>
      <c r="R138" s="2" t="s">
        <v>311</v>
      </c>
      <c r="S138" s="2" t="s">
        <v>311</v>
      </c>
      <c r="T138" s="2" t="s">
        <v>313</v>
      </c>
      <c r="U138" s="2" t="s">
        <v>313</v>
      </c>
      <c r="V138" s="2" t="s">
        <v>315</v>
      </c>
      <c r="W138" s="2" t="s">
        <v>316</v>
      </c>
      <c r="X138" s="2" t="s">
        <v>318</v>
      </c>
      <c r="Y138" s="2" t="s">
        <v>316</v>
      </c>
      <c r="Z138" s="2" t="s">
        <v>311</v>
      </c>
      <c r="AA138" s="2" t="s">
        <v>321</v>
      </c>
      <c r="AB138" s="2" t="s">
        <v>324</v>
      </c>
      <c r="AC138" s="2" t="s">
        <v>1101</v>
      </c>
      <c r="AD138" s="2" t="s">
        <v>1105</v>
      </c>
    </row>
    <row r="139" spans="1:30" x14ac:dyDescent="0.3">
      <c r="A139" s="2" t="s">
        <v>30</v>
      </c>
      <c r="B139" s="2" t="s">
        <v>596</v>
      </c>
      <c r="C139" s="2" t="s">
        <v>774</v>
      </c>
      <c r="D139" s="2">
        <v>57</v>
      </c>
      <c r="E139" s="2" t="s">
        <v>232</v>
      </c>
      <c r="F139" s="2" t="s">
        <v>235</v>
      </c>
      <c r="G139" s="2" t="s">
        <v>242</v>
      </c>
      <c r="H139" s="2" t="s">
        <v>244</v>
      </c>
      <c r="I139" s="2">
        <v>16</v>
      </c>
      <c r="J139" s="2" t="s">
        <v>301</v>
      </c>
      <c r="K139" s="2" t="s">
        <v>308</v>
      </c>
      <c r="L139" s="2">
        <v>13</v>
      </c>
      <c r="M139" s="2" t="s">
        <v>249</v>
      </c>
      <c r="N139" s="2">
        <v>1</v>
      </c>
      <c r="O139" s="2" t="s">
        <v>313</v>
      </c>
      <c r="P139" s="2" t="s">
        <v>311</v>
      </c>
      <c r="Q139" s="2" t="s">
        <v>313</v>
      </c>
      <c r="R139" s="2" t="s">
        <v>313</v>
      </c>
      <c r="S139" s="2" t="s">
        <v>313</v>
      </c>
      <c r="T139" s="2" t="s">
        <v>311</v>
      </c>
      <c r="U139" s="2" t="s">
        <v>311</v>
      </c>
      <c r="V139" s="2" t="s">
        <v>315</v>
      </c>
      <c r="W139" s="2" t="s">
        <v>316</v>
      </c>
      <c r="X139" s="2" t="s">
        <v>318</v>
      </c>
      <c r="Y139" s="2" t="s">
        <v>315</v>
      </c>
      <c r="Z139" s="2" t="s">
        <v>311</v>
      </c>
      <c r="AA139" s="2" t="s">
        <v>1095</v>
      </c>
      <c r="AB139" s="2" t="s">
        <v>324</v>
      </c>
      <c r="AC139" s="2" t="s">
        <v>1096</v>
      </c>
      <c r="AD139" s="2" t="s">
        <v>1105</v>
      </c>
    </row>
    <row r="140" spans="1:30" hidden="1" x14ac:dyDescent="0.3">
      <c r="A140" s="1">
        <v>45665.109039351853</v>
      </c>
      <c r="B140" s="2" t="s">
        <v>31</v>
      </c>
      <c r="C140" s="2" t="s">
        <v>839</v>
      </c>
      <c r="D140" s="2">
        <v>26</v>
      </c>
      <c r="E140" s="2" t="s">
        <v>231</v>
      </c>
      <c r="F140" s="2" t="s">
        <v>233</v>
      </c>
      <c r="G140" s="2" t="s">
        <v>238</v>
      </c>
      <c r="H140" s="2" t="s">
        <v>244</v>
      </c>
      <c r="I140" s="2">
        <v>9</v>
      </c>
      <c r="J140" s="2" t="s">
        <v>247</v>
      </c>
      <c r="K140" s="2" t="s">
        <v>308</v>
      </c>
      <c r="L140" s="2">
        <v>18</v>
      </c>
      <c r="M140" s="2" t="s">
        <v>262</v>
      </c>
      <c r="N140" s="2">
        <v>3</v>
      </c>
      <c r="O140" s="2" t="s">
        <v>311</v>
      </c>
      <c r="P140" s="2" t="s">
        <v>311</v>
      </c>
      <c r="Q140" s="2" t="s">
        <v>312</v>
      </c>
      <c r="R140" s="2" t="s">
        <v>312</v>
      </c>
      <c r="S140" s="2" t="s">
        <v>311</v>
      </c>
      <c r="T140" s="2" t="s">
        <v>312</v>
      </c>
      <c r="U140" s="2" t="s">
        <v>314</v>
      </c>
      <c r="V140" s="2" t="s">
        <v>315</v>
      </c>
      <c r="W140" s="2" t="s">
        <v>316</v>
      </c>
      <c r="X140" s="2" t="s">
        <v>317</v>
      </c>
      <c r="Y140" s="2" t="s">
        <v>315</v>
      </c>
      <c r="Z140" s="2" t="s">
        <v>312</v>
      </c>
      <c r="AA140" s="2" t="s">
        <v>316</v>
      </c>
      <c r="AB140" s="2" t="s">
        <v>323</v>
      </c>
      <c r="AC140" s="2" t="s">
        <v>327</v>
      </c>
      <c r="AD140" s="2" t="s">
        <v>427</v>
      </c>
    </row>
    <row r="141" spans="1:30" x14ac:dyDescent="0.3">
      <c r="A141" s="2" t="s">
        <v>30</v>
      </c>
      <c r="B141" s="2" t="s">
        <v>654</v>
      </c>
      <c r="C141" s="2" t="s">
        <v>833</v>
      </c>
      <c r="D141" s="2">
        <v>29</v>
      </c>
      <c r="E141" s="2" t="s">
        <v>232</v>
      </c>
      <c r="F141" s="2" t="s">
        <v>235</v>
      </c>
      <c r="G141" s="2" t="s">
        <v>242</v>
      </c>
      <c r="H141" s="2" t="s">
        <v>245</v>
      </c>
      <c r="I141" s="2">
        <v>9</v>
      </c>
      <c r="J141" s="2" t="s">
        <v>1076</v>
      </c>
      <c r="K141" s="2" t="s">
        <v>310</v>
      </c>
      <c r="L141" s="2">
        <v>2</v>
      </c>
      <c r="M141" s="2" t="s">
        <v>241</v>
      </c>
      <c r="N141" s="2">
        <v>3</v>
      </c>
      <c r="O141" s="2" t="s">
        <v>314</v>
      </c>
      <c r="P141" s="2" t="s">
        <v>313</v>
      </c>
      <c r="Q141" s="2" t="s">
        <v>312</v>
      </c>
      <c r="R141" s="2" t="s">
        <v>313</v>
      </c>
      <c r="S141" s="2" t="s">
        <v>314</v>
      </c>
      <c r="T141" s="2" t="s">
        <v>313</v>
      </c>
      <c r="U141" s="2" t="s">
        <v>313</v>
      </c>
      <c r="V141" s="2" t="s">
        <v>315</v>
      </c>
      <c r="W141" s="2" t="s">
        <v>316</v>
      </c>
      <c r="X141" s="2" t="s">
        <v>320</v>
      </c>
      <c r="Y141" s="2" t="s">
        <v>315</v>
      </c>
      <c r="Z141" s="2" t="s">
        <v>312</v>
      </c>
      <c r="AA141" s="2" t="s">
        <v>1095</v>
      </c>
      <c r="AB141" s="2" t="s">
        <v>325</v>
      </c>
      <c r="AC141" s="2" t="s">
        <v>1098</v>
      </c>
      <c r="AD141" s="2" t="s">
        <v>1105</v>
      </c>
    </row>
    <row r="142" spans="1:30" hidden="1" x14ac:dyDescent="0.3">
      <c r="A142" s="2" t="s">
        <v>30</v>
      </c>
      <c r="B142" s="2" t="s">
        <v>642</v>
      </c>
      <c r="C142" s="2" t="s">
        <v>142</v>
      </c>
      <c r="D142" s="2">
        <v>30</v>
      </c>
      <c r="E142" s="2" t="s">
        <v>231</v>
      </c>
      <c r="F142" s="2" t="s">
        <v>237</v>
      </c>
      <c r="G142" s="2" t="s">
        <v>239</v>
      </c>
      <c r="H142" s="2" t="s">
        <v>246</v>
      </c>
      <c r="I142" s="2">
        <v>18</v>
      </c>
      <c r="J142" s="2" t="s">
        <v>273</v>
      </c>
      <c r="K142" s="2" t="s">
        <v>310</v>
      </c>
      <c r="L142" s="2">
        <v>16</v>
      </c>
      <c r="M142" s="2" t="s">
        <v>243</v>
      </c>
      <c r="N142" s="2">
        <v>1</v>
      </c>
      <c r="O142" s="2" t="s">
        <v>312</v>
      </c>
      <c r="P142" s="2" t="s">
        <v>313</v>
      </c>
      <c r="Q142" s="2" t="s">
        <v>313</v>
      </c>
      <c r="R142" s="2" t="s">
        <v>311</v>
      </c>
      <c r="S142" s="2" t="s">
        <v>313</v>
      </c>
      <c r="T142" s="2" t="s">
        <v>313</v>
      </c>
      <c r="U142" s="2" t="s">
        <v>313</v>
      </c>
      <c r="V142" s="2" t="s">
        <v>315</v>
      </c>
      <c r="W142" s="2" t="s">
        <v>316</v>
      </c>
      <c r="X142" s="2" t="s">
        <v>318</v>
      </c>
      <c r="Y142" s="2" t="s">
        <v>315</v>
      </c>
      <c r="Z142" s="2" t="s">
        <v>312</v>
      </c>
      <c r="AA142" s="2" t="s">
        <v>315</v>
      </c>
      <c r="AB142" s="2" t="s">
        <v>326</v>
      </c>
      <c r="AC142" s="2" t="s">
        <v>1101</v>
      </c>
      <c r="AD142" s="2" t="s">
        <v>1105</v>
      </c>
    </row>
    <row r="143" spans="1:30" hidden="1" x14ac:dyDescent="0.3">
      <c r="A143" s="2" t="s">
        <v>30</v>
      </c>
      <c r="B143" s="2" t="s">
        <v>560</v>
      </c>
      <c r="C143" s="2" t="s">
        <v>751</v>
      </c>
      <c r="D143" s="2">
        <v>33</v>
      </c>
      <c r="E143" s="2" t="s">
        <v>231</v>
      </c>
      <c r="F143" s="2" t="s">
        <v>236</v>
      </c>
      <c r="G143" s="2" t="s">
        <v>241</v>
      </c>
      <c r="H143" s="2" t="s">
        <v>245</v>
      </c>
      <c r="I143" s="2">
        <v>19</v>
      </c>
      <c r="J143" s="2" t="s">
        <v>1053</v>
      </c>
      <c r="K143" s="2" t="s">
        <v>310</v>
      </c>
      <c r="L143" s="2">
        <v>17</v>
      </c>
      <c r="M143" s="2" t="s">
        <v>255</v>
      </c>
      <c r="N143" s="2">
        <v>3</v>
      </c>
      <c r="O143" s="2" t="s">
        <v>314</v>
      </c>
      <c r="P143" s="2" t="s">
        <v>314</v>
      </c>
      <c r="Q143" s="2" t="s">
        <v>314</v>
      </c>
      <c r="R143" s="2" t="s">
        <v>311</v>
      </c>
      <c r="S143" s="2" t="s">
        <v>313</v>
      </c>
      <c r="T143" s="2" t="s">
        <v>314</v>
      </c>
      <c r="U143" s="2" t="s">
        <v>314</v>
      </c>
      <c r="V143" s="2" t="s">
        <v>315</v>
      </c>
      <c r="W143" s="2" t="s">
        <v>316</v>
      </c>
      <c r="X143" s="2" t="s">
        <v>317</v>
      </c>
      <c r="Y143" s="2" t="s">
        <v>316</v>
      </c>
      <c r="Z143" s="2" t="s">
        <v>312</v>
      </c>
      <c r="AA143" s="2" t="s">
        <v>316</v>
      </c>
      <c r="AB143" s="2" t="s">
        <v>324</v>
      </c>
      <c r="AC143" s="2" t="s">
        <v>1100</v>
      </c>
      <c r="AD143" s="2" t="s">
        <v>1105</v>
      </c>
    </row>
    <row r="144" spans="1:30" hidden="1" x14ac:dyDescent="0.3">
      <c r="A144" s="2" t="s">
        <v>30</v>
      </c>
      <c r="B144" s="2" t="s">
        <v>612</v>
      </c>
      <c r="C144" s="2" t="s">
        <v>191</v>
      </c>
      <c r="D144" s="2">
        <v>34</v>
      </c>
      <c r="E144" s="2" t="s">
        <v>231</v>
      </c>
      <c r="F144" s="2" t="s">
        <v>234</v>
      </c>
      <c r="G144" s="2" t="s">
        <v>239</v>
      </c>
      <c r="H144" s="2" t="s">
        <v>244</v>
      </c>
      <c r="I144" s="2">
        <v>3</v>
      </c>
      <c r="J144" s="2" t="s">
        <v>1020</v>
      </c>
      <c r="K144" s="2" t="s">
        <v>308</v>
      </c>
      <c r="L144" s="2">
        <v>11</v>
      </c>
      <c r="M144" s="2" t="s">
        <v>241</v>
      </c>
      <c r="N144" s="2">
        <v>2</v>
      </c>
      <c r="O144" s="2" t="s">
        <v>314</v>
      </c>
      <c r="P144" s="2" t="s">
        <v>311</v>
      </c>
      <c r="Q144" s="2" t="s">
        <v>312</v>
      </c>
      <c r="R144" s="2" t="s">
        <v>314</v>
      </c>
      <c r="S144" s="2" t="s">
        <v>313</v>
      </c>
      <c r="T144" s="2" t="s">
        <v>312</v>
      </c>
      <c r="U144" s="2" t="s">
        <v>312</v>
      </c>
      <c r="V144" s="2" t="s">
        <v>315</v>
      </c>
      <c r="W144" s="2" t="s">
        <v>316</v>
      </c>
      <c r="X144" s="2" t="s">
        <v>320</v>
      </c>
      <c r="Y144" s="2" t="s">
        <v>315</v>
      </c>
      <c r="Z144" s="2" t="s">
        <v>312</v>
      </c>
      <c r="AA144" s="2" t="s">
        <v>321</v>
      </c>
      <c r="AB144" s="2" t="s">
        <v>324</v>
      </c>
      <c r="AC144" s="2" t="s">
        <v>1098</v>
      </c>
      <c r="AD144" s="2" t="s">
        <v>1105</v>
      </c>
    </row>
    <row r="145" spans="1:30" x14ac:dyDescent="0.3">
      <c r="A145" s="2" t="s">
        <v>30</v>
      </c>
      <c r="B145" s="2" t="s">
        <v>630</v>
      </c>
      <c r="C145" s="2" t="s">
        <v>211</v>
      </c>
      <c r="D145" s="2">
        <v>34</v>
      </c>
      <c r="E145" s="2" t="s">
        <v>232</v>
      </c>
      <c r="F145" s="2" t="s">
        <v>234</v>
      </c>
      <c r="G145" s="2" t="s">
        <v>238</v>
      </c>
      <c r="H145" s="2" t="s">
        <v>245</v>
      </c>
      <c r="I145" s="2">
        <v>21</v>
      </c>
      <c r="J145" s="2" t="s">
        <v>1066</v>
      </c>
      <c r="K145" s="2" t="s">
        <v>308</v>
      </c>
      <c r="L145" s="2">
        <v>0</v>
      </c>
      <c r="M145" s="2" t="s">
        <v>255</v>
      </c>
      <c r="N145" s="2">
        <v>2</v>
      </c>
      <c r="O145" s="2" t="s">
        <v>312</v>
      </c>
      <c r="P145" s="2" t="s">
        <v>314</v>
      </c>
      <c r="Q145" s="2" t="s">
        <v>314</v>
      </c>
      <c r="R145" s="2" t="s">
        <v>314</v>
      </c>
      <c r="S145" s="2" t="s">
        <v>314</v>
      </c>
      <c r="T145" s="2" t="s">
        <v>312</v>
      </c>
      <c r="U145" s="2" t="s">
        <v>312</v>
      </c>
      <c r="V145" s="2" t="s">
        <v>315</v>
      </c>
      <c r="W145" s="2" t="s">
        <v>316</v>
      </c>
      <c r="X145" s="2" t="s">
        <v>320</v>
      </c>
      <c r="Y145" s="2" t="s">
        <v>316</v>
      </c>
      <c r="Z145" s="2" t="s">
        <v>312</v>
      </c>
      <c r="AA145" s="2" t="s">
        <v>315</v>
      </c>
      <c r="AB145" s="2" t="s">
        <v>326</v>
      </c>
      <c r="AC145" s="2" t="s">
        <v>1101</v>
      </c>
      <c r="AD145" s="2" t="s">
        <v>1105</v>
      </c>
    </row>
    <row r="146" spans="1:30" hidden="1" x14ac:dyDescent="0.3">
      <c r="A146" s="2" t="s">
        <v>30</v>
      </c>
      <c r="B146" s="2" t="s">
        <v>589</v>
      </c>
      <c r="C146" s="2" t="s">
        <v>776</v>
      </c>
      <c r="D146" s="2">
        <v>34</v>
      </c>
      <c r="E146" s="2" t="s">
        <v>231</v>
      </c>
      <c r="F146" s="2" t="s">
        <v>235</v>
      </c>
      <c r="G146" s="2" t="s">
        <v>242</v>
      </c>
      <c r="H146" s="2" t="s">
        <v>244</v>
      </c>
      <c r="I146" s="2">
        <v>19</v>
      </c>
      <c r="J146" s="2" t="s">
        <v>289</v>
      </c>
      <c r="K146" s="2" t="s">
        <v>308</v>
      </c>
      <c r="L146" s="2">
        <v>3</v>
      </c>
      <c r="M146" s="2" t="s">
        <v>275</v>
      </c>
      <c r="N146" s="2">
        <v>3</v>
      </c>
      <c r="O146" s="2" t="s">
        <v>313</v>
      </c>
      <c r="P146" s="2" t="s">
        <v>313</v>
      </c>
      <c r="Q146" s="2" t="s">
        <v>312</v>
      </c>
      <c r="R146" s="2" t="s">
        <v>311</v>
      </c>
      <c r="S146" s="2" t="s">
        <v>312</v>
      </c>
      <c r="T146" s="2" t="s">
        <v>311</v>
      </c>
      <c r="U146" s="2" t="s">
        <v>311</v>
      </c>
      <c r="V146" s="2" t="s">
        <v>315</v>
      </c>
      <c r="W146" s="2" t="s">
        <v>316</v>
      </c>
      <c r="X146" s="2" t="s">
        <v>317</v>
      </c>
      <c r="Y146" s="2" t="s">
        <v>315</v>
      </c>
      <c r="Z146" s="2" t="s">
        <v>312</v>
      </c>
      <c r="AA146" s="2" t="s">
        <v>316</v>
      </c>
      <c r="AB146" s="2" t="s">
        <v>325</v>
      </c>
      <c r="AC146" s="2" t="s">
        <v>1098</v>
      </c>
      <c r="AD146" s="2" t="s">
        <v>1105</v>
      </c>
    </row>
    <row r="147" spans="1:30" hidden="1" x14ac:dyDescent="0.3">
      <c r="A147" s="2" t="s">
        <v>30</v>
      </c>
      <c r="B147" s="2" t="s">
        <v>564</v>
      </c>
      <c r="C147" s="2" t="s">
        <v>845</v>
      </c>
      <c r="D147" s="2">
        <v>36</v>
      </c>
      <c r="E147" s="2" t="s">
        <v>231</v>
      </c>
      <c r="F147" s="2" t="s">
        <v>235</v>
      </c>
      <c r="G147" s="2" t="s">
        <v>243</v>
      </c>
      <c r="H147" s="2" t="s">
        <v>246</v>
      </c>
      <c r="I147" s="2">
        <v>3</v>
      </c>
      <c r="J147" s="2" t="s">
        <v>978</v>
      </c>
      <c r="K147" s="2" t="s">
        <v>309</v>
      </c>
      <c r="L147" s="2">
        <v>9</v>
      </c>
      <c r="M147" s="2" t="s">
        <v>255</v>
      </c>
      <c r="N147" s="2">
        <v>2</v>
      </c>
      <c r="O147" s="2" t="s">
        <v>312</v>
      </c>
      <c r="P147" s="2" t="s">
        <v>311</v>
      </c>
      <c r="Q147" s="2" t="s">
        <v>312</v>
      </c>
      <c r="R147" s="2" t="s">
        <v>313</v>
      </c>
      <c r="S147" s="2" t="s">
        <v>312</v>
      </c>
      <c r="T147" s="2" t="s">
        <v>312</v>
      </c>
      <c r="U147" s="2" t="s">
        <v>312</v>
      </c>
      <c r="V147" s="2" t="s">
        <v>315</v>
      </c>
      <c r="W147" s="2" t="s">
        <v>316</v>
      </c>
      <c r="X147" s="2" t="s">
        <v>317</v>
      </c>
      <c r="Y147" s="2" t="s">
        <v>316</v>
      </c>
      <c r="Z147" s="2" t="s">
        <v>312</v>
      </c>
      <c r="AA147" s="2" t="s">
        <v>1095</v>
      </c>
      <c r="AB147" s="2" t="s">
        <v>323</v>
      </c>
      <c r="AC147" s="2" t="s">
        <v>1102</v>
      </c>
      <c r="AD147" s="2" t="s">
        <v>1105</v>
      </c>
    </row>
    <row r="148" spans="1:30" hidden="1" x14ac:dyDescent="0.3">
      <c r="A148" s="2" t="s">
        <v>30</v>
      </c>
      <c r="B148" s="2" t="s">
        <v>548</v>
      </c>
      <c r="C148" s="2" t="s">
        <v>677</v>
      </c>
      <c r="D148" s="2">
        <v>40</v>
      </c>
      <c r="E148" s="2" t="s">
        <v>231</v>
      </c>
      <c r="F148" s="2" t="s">
        <v>236</v>
      </c>
      <c r="G148" s="2" t="s">
        <v>239</v>
      </c>
      <c r="H148" s="2" t="s">
        <v>246</v>
      </c>
      <c r="I148" s="2">
        <v>22</v>
      </c>
      <c r="J148" s="2" t="s">
        <v>263</v>
      </c>
      <c r="K148" s="2" t="s">
        <v>308</v>
      </c>
      <c r="L148" s="2">
        <v>3</v>
      </c>
      <c r="M148" s="2" t="s">
        <v>255</v>
      </c>
      <c r="N148" s="2">
        <v>3</v>
      </c>
      <c r="O148" s="2" t="s">
        <v>314</v>
      </c>
      <c r="P148" s="2" t="s">
        <v>313</v>
      </c>
      <c r="Q148" s="2" t="s">
        <v>311</v>
      </c>
      <c r="R148" s="2" t="s">
        <v>314</v>
      </c>
      <c r="S148" s="2" t="s">
        <v>312</v>
      </c>
      <c r="T148" s="2" t="s">
        <v>311</v>
      </c>
      <c r="U148" s="2" t="s">
        <v>311</v>
      </c>
      <c r="V148" s="2" t="s">
        <v>315</v>
      </c>
      <c r="W148" s="2" t="s">
        <v>316</v>
      </c>
      <c r="X148" s="2" t="s">
        <v>318</v>
      </c>
      <c r="Y148" s="2" t="s">
        <v>316</v>
      </c>
      <c r="Z148" s="2" t="s">
        <v>312</v>
      </c>
      <c r="AA148" s="2" t="s">
        <v>315</v>
      </c>
      <c r="AB148" s="2" t="s">
        <v>326</v>
      </c>
      <c r="AC148" s="2" t="s">
        <v>1097</v>
      </c>
      <c r="AD148" s="2" t="s">
        <v>1105</v>
      </c>
    </row>
    <row r="149" spans="1:30" x14ac:dyDescent="0.3">
      <c r="A149" s="2" t="s">
        <v>30</v>
      </c>
      <c r="B149" s="2" t="s">
        <v>549</v>
      </c>
      <c r="C149" s="2" t="s">
        <v>800</v>
      </c>
      <c r="D149" s="2">
        <v>42</v>
      </c>
      <c r="E149" s="2" t="s">
        <v>232</v>
      </c>
      <c r="F149" s="2" t="s">
        <v>233</v>
      </c>
      <c r="G149" s="2" t="s">
        <v>240</v>
      </c>
      <c r="H149" s="2" t="s">
        <v>244</v>
      </c>
      <c r="I149" s="2">
        <v>22</v>
      </c>
      <c r="J149" s="2" t="s">
        <v>253</v>
      </c>
      <c r="K149" s="2" t="s">
        <v>310</v>
      </c>
      <c r="L149" s="2">
        <v>18</v>
      </c>
      <c r="M149" s="2" t="s">
        <v>262</v>
      </c>
      <c r="N149" s="2">
        <v>0</v>
      </c>
      <c r="O149" s="2" t="s">
        <v>314</v>
      </c>
      <c r="P149" s="2" t="s">
        <v>314</v>
      </c>
      <c r="Q149" s="2" t="s">
        <v>311</v>
      </c>
      <c r="R149" s="2" t="s">
        <v>313</v>
      </c>
      <c r="S149" s="2" t="s">
        <v>312</v>
      </c>
      <c r="T149" s="2" t="s">
        <v>312</v>
      </c>
      <c r="U149" s="2" t="s">
        <v>312</v>
      </c>
      <c r="V149" s="2" t="s">
        <v>315</v>
      </c>
      <c r="W149" s="2" t="s">
        <v>316</v>
      </c>
      <c r="X149" s="2" t="s">
        <v>318</v>
      </c>
      <c r="Y149" s="2" t="s">
        <v>315</v>
      </c>
      <c r="Z149" s="2" t="s">
        <v>312</v>
      </c>
      <c r="AA149" s="2" t="s">
        <v>321</v>
      </c>
      <c r="AB149" s="2" t="s">
        <v>323</v>
      </c>
      <c r="AC149" s="2" t="s">
        <v>1098</v>
      </c>
      <c r="AD149" s="2" t="s">
        <v>1105</v>
      </c>
    </row>
    <row r="150" spans="1:30" x14ac:dyDescent="0.3">
      <c r="A150" s="2" t="s">
        <v>30</v>
      </c>
      <c r="B150" s="2" t="s">
        <v>606</v>
      </c>
      <c r="C150" s="2" t="s">
        <v>754</v>
      </c>
      <c r="D150" s="2">
        <v>48</v>
      </c>
      <c r="E150" s="2" t="s">
        <v>232</v>
      </c>
      <c r="F150" s="2" t="s">
        <v>236</v>
      </c>
      <c r="G150" s="2" t="s">
        <v>243</v>
      </c>
      <c r="H150" s="2" t="s">
        <v>246</v>
      </c>
      <c r="I150" s="2">
        <v>24</v>
      </c>
      <c r="J150" s="2" t="s">
        <v>1017</v>
      </c>
      <c r="K150" s="2" t="s">
        <v>310</v>
      </c>
      <c r="L150" s="2">
        <v>7</v>
      </c>
      <c r="M150" s="2" t="s">
        <v>241</v>
      </c>
      <c r="N150" s="2">
        <v>3</v>
      </c>
      <c r="O150" s="2" t="s">
        <v>313</v>
      </c>
      <c r="P150" s="2" t="s">
        <v>314</v>
      </c>
      <c r="Q150" s="2" t="s">
        <v>313</v>
      </c>
      <c r="R150" s="2" t="s">
        <v>311</v>
      </c>
      <c r="S150" s="2" t="s">
        <v>313</v>
      </c>
      <c r="T150" s="2" t="s">
        <v>312</v>
      </c>
      <c r="U150" s="2" t="s">
        <v>312</v>
      </c>
      <c r="V150" s="2" t="s">
        <v>315</v>
      </c>
      <c r="W150" s="2" t="s">
        <v>316</v>
      </c>
      <c r="X150" s="2" t="s">
        <v>318</v>
      </c>
      <c r="Y150" s="2" t="s">
        <v>316</v>
      </c>
      <c r="Z150" s="2" t="s">
        <v>312</v>
      </c>
      <c r="AA150" s="2" t="s">
        <v>316</v>
      </c>
      <c r="AB150" s="2" t="s">
        <v>324</v>
      </c>
      <c r="AC150" s="2" t="s">
        <v>1099</v>
      </c>
      <c r="AD150" s="2" t="s">
        <v>1105</v>
      </c>
    </row>
    <row r="151" spans="1:30" hidden="1" x14ac:dyDescent="0.3">
      <c r="A151" s="1">
        <v>45671.901331018518</v>
      </c>
      <c r="B151" s="2" t="s">
        <v>113</v>
      </c>
      <c r="C151" s="2" t="s">
        <v>892</v>
      </c>
      <c r="D151" s="2">
        <v>49</v>
      </c>
      <c r="E151" s="2" t="s">
        <v>231</v>
      </c>
      <c r="F151" s="2" t="s">
        <v>237</v>
      </c>
      <c r="G151" s="2" t="s">
        <v>240</v>
      </c>
      <c r="H151" s="2" t="s">
        <v>244</v>
      </c>
      <c r="I151" s="2">
        <v>15</v>
      </c>
      <c r="J151" s="2" t="s">
        <v>253</v>
      </c>
      <c r="K151" s="2" t="s">
        <v>308</v>
      </c>
      <c r="L151" s="2">
        <v>14</v>
      </c>
      <c r="M151" s="2" t="s">
        <v>241</v>
      </c>
      <c r="N151" s="2">
        <v>0</v>
      </c>
      <c r="O151" s="2" t="s">
        <v>314</v>
      </c>
      <c r="P151" s="2" t="s">
        <v>312</v>
      </c>
      <c r="Q151" s="2" t="s">
        <v>314</v>
      </c>
      <c r="R151" s="2" t="s">
        <v>312</v>
      </c>
      <c r="S151" s="2" t="s">
        <v>313</v>
      </c>
      <c r="T151" s="2" t="s">
        <v>312</v>
      </c>
      <c r="U151" s="2" t="s">
        <v>313</v>
      </c>
      <c r="V151" s="2" t="s">
        <v>315</v>
      </c>
      <c r="W151" s="2" t="s">
        <v>316</v>
      </c>
      <c r="X151" s="2" t="s">
        <v>317</v>
      </c>
      <c r="Y151" s="2" t="s">
        <v>315</v>
      </c>
      <c r="Z151" s="2" t="s">
        <v>312</v>
      </c>
      <c r="AA151" s="2" t="s">
        <v>321</v>
      </c>
      <c r="AB151" s="2" t="s">
        <v>326</v>
      </c>
      <c r="AC151" s="2" t="s">
        <v>409</v>
      </c>
      <c r="AD151" s="2" t="s">
        <v>509</v>
      </c>
    </row>
    <row r="152" spans="1:30" hidden="1" x14ac:dyDescent="0.3">
      <c r="A152" s="2" t="s">
        <v>30</v>
      </c>
      <c r="B152" s="2" t="s">
        <v>552</v>
      </c>
      <c r="C152" s="2" t="s">
        <v>832</v>
      </c>
      <c r="D152" s="2">
        <v>49</v>
      </c>
      <c r="E152" s="2" t="s">
        <v>231</v>
      </c>
      <c r="F152" s="2" t="s">
        <v>234</v>
      </c>
      <c r="G152" s="2" t="s">
        <v>238</v>
      </c>
      <c r="H152" s="2" t="s">
        <v>244</v>
      </c>
      <c r="I152" s="2">
        <v>7</v>
      </c>
      <c r="J152" s="2" t="s">
        <v>251</v>
      </c>
      <c r="K152" s="2" t="s">
        <v>308</v>
      </c>
      <c r="L152" s="2">
        <v>20</v>
      </c>
      <c r="M152" s="2" t="s">
        <v>241</v>
      </c>
      <c r="N152" s="2">
        <v>1</v>
      </c>
      <c r="O152" s="2" t="s">
        <v>314</v>
      </c>
      <c r="P152" s="2" t="s">
        <v>312</v>
      </c>
      <c r="Q152" s="2" t="s">
        <v>311</v>
      </c>
      <c r="R152" s="2" t="s">
        <v>313</v>
      </c>
      <c r="S152" s="2" t="s">
        <v>314</v>
      </c>
      <c r="T152" s="2" t="s">
        <v>314</v>
      </c>
      <c r="U152" s="2" t="s">
        <v>314</v>
      </c>
      <c r="V152" s="2" t="s">
        <v>315</v>
      </c>
      <c r="W152" s="2" t="s">
        <v>316</v>
      </c>
      <c r="X152" s="2" t="s">
        <v>319</v>
      </c>
      <c r="Y152" s="2" t="s">
        <v>315</v>
      </c>
      <c r="Z152" s="2" t="s">
        <v>312</v>
      </c>
      <c r="AA152" s="2" t="s">
        <v>315</v>
      </c>
      <c r="AB152" s="2" t="s">
        <v>325</v>
      </c>
      <c r="AC152" s="2" t="s">
        <v>1100</v>
      </c>
      <c r="AD152" s="2" t="s">
        <v>1105</v>
      </c>
    </row>
    <row r="153" spans="1:30" hidden="1" x14ac:dyDescent="0.3">
      <c r="A153" s="2" t="s">
        <v>30</v>
      </c>
      <c r="B153" s="2" t="s">
        <v>559</v>
      </c>
      <c r="C153" s="2" t="s">
        <v>810</v>
      </c>
      <c r="D153" s="2">
        <v>50</v>
      </c>
      <c r="E153" s="2" t="s">
        <v>231</v>
      </c>
      <c r="F153" s="2" t="s">
        <v>234</v>
      </c>
      <c r="G153" s="2" t="s">
        <v>242</v>
      </c>
      <c r="H153" s="2" t="s">
        <v>246</v>
      </c>
      <c r="I153" s="2">
        <v>20</v>
      </c>
      <c r="J153" s="2" t="s">
        <v>255</v>
      </c>
      <c r="K153" s="2" t="s">
        <v>310</v>
      </c>
      <c r="L153" s="2">
        <v>19</v>
      </c>
      <c r="M153" s="2" t="s">
        <v>262</v>
      </c>
      <c r="N153" s="2">
        <v>3</v>
      </c>
      <c r="O153" s="2" t="s">
        <v>311</v>
      </c>
      <c r="P153" s="2" t="s">
        <v>314</v>
      </c>
      <c r="Q153" s="2" t="s">
        <v>311</v>
      </c>
      <c r="R153" s="2" t="s">
        <v>312</v>
      </c>
      <c r="S153" s="2" t="s">
        <v>314</v>
      </c>
      <c r="T153" s="2" t="s">
        <v>313</v>
      </c>
      <c r="U153" s="2" t="s">
        <v>313</v>
      </c>
      <c r="V153" s="2" t="s">
        <v>315</v>
      </c>
      <c r="W153" s="2" t="s">
        <v>316</v>
      </c>
      <c r="X153" s="2" t="s">
        <v>317</v>
      </c>
      <c r="Y153" s="2" t="s">
        <v>316</v>
      </c>
      <c r="Z153" s="2" t="s">
        <v>312</v>
      </c>
      <c r="AA153" s="2" t="s">
        <v>316</v>
      </c>
      <c r="AB153" s="2" t="s">
        <v>324</v>
      </c>
      <c r="AC153" s="2" t="s">
        <v>1096</v>
      </c>
      <c r="AD153" s="2" t="s">
        <v>1105</v>
      </c>
    </row>
    <row r="154" spans="1:30" hidden="1" x14ac:dyDescent="0.3">
      <c r="A154" s="2" t="s">
        <v>30</v>
      </c>
      <c r="B154" s="2" t="s">
        <v>649</v>
      </c>
      <c r="C154" s="2" t="s">
        <v>155</v>
      </c>
      <c r="D154" s="2">
        <v>51</v>
      </c>
      <c r="E154" s="2" t="s">
        <v>231</v>
      </c>
      <c r="F154" s="2" t="s">
        <v>236</v>
      </c>
      <c r="G154" s="2" t="s">
        <v>242</v>
      </c>
      <c r="H154" s="2" t="s">
        <v>245</v>
      </c>
      <c r="I154" s="2">
        <v>27</v>
      </c>
      <c r="J154" s="2" t="s">
        <v>1080</v>
      </c>
      <c r="K154" s="2" t="s">
        <v>308</v>
      </c>
      <c r="L154" s="2">
        <v>6</v>
      </c>
      <c r="M154" s="2" t="s">
        <v>251</v>
      </c>
      <c r="N154" s="2">
        <v>3</v>
      </c>
      <c r="O154" s="2" t="s">
        <v>314</v>
      </c>
      <c r="P154" s="2" t="s">
        <v>313</v>
      </c>
      <c r="Q154" s="2" t="s">
        <v>311</v>
      </c>
      <c r="R154" s="2" t="s">
        <v>312</v>
      </c>
      <c r="S154" s="2" t="s">
        <v>313</v>
      </c>
      <c r="T154" s="2" t="s">
        <v>313</v>
      </c>
      <c r="U154" s="2" t="s">
        <v>313</v>
      </c>
      <c r="V154" s="2" t="s">
        <v>315</v>
      </c>
      <c r="W154" s="2" t="s">
        <v>316</v>
      </c>
      <c r="X154" s="2" t="s">
        <v>319</v>
      </c>
      <c r="Y154" s="2" t="s">
        <v>315</v>
      </c>
      <c r="Z154" s="2" t="s">
        <v>312</v>
      </c>
      <c r="AA154" s="2" t="s">
        <v>315</v>
      </c>
      <c r="AB154" s="2" t="s">
        <v>324</v>
      </c>
      <c r="AC154" s="2" t="s">
        <v>1102</v>
      </c>
      <c r="AD154" s="2" t="s">
        <v>1105</v>
      </c>
    </row>
    <row r="155" spans="1:30" hidden="1" x14ac:dyDescent="0.3">
      <c r="A155" s="2" t="s">
        <v>30</v>
      </c>
      <c r="B155" s="2" t="s">
        <v>579</v>
      </c>
      <c r="C155" s="2" t="s">
        <v>826</v>
      </c>
      <c r="D155" s="2">
        <v>52</v>
      </c>
      <c r="E155" s="2" t="s">
        <v>231</v>
      </c>
      <c r="F155" s="2" t="s">
        <v>237</v>
      </c>
      <c r="G155" s="2" t="s">
        <v>241</v>
      </c>
      <c r="H155" s="2" t="s">
        <v>244</v>
      </c>
      <c r="I155" s="2">
        <v>6</v>
      </c>
      <c r="J155" s="2" t="s">
        <v>991</v>
      </c>
      <c r="K155" s="2" t="s">
        <v>309</v>
      </c>
      <c r="L155" s="2">
        <v>18</v>
      </c>
      <c r="M155" s="2" t="s">
        <v>249</v>
      </c>
      <c r="N155" s="2">
        <v>0</v>
      </c>
      <c r="O155" s="2" t="s">
        <v>311</v>
      </c>
      <c r="P155" s="2" t="s">
        <v>311</v>
      </c>
      <c r="Q155" s="2" t="s">
        <v>311</v>
      </c>
      <c r="R155" s="2" t="s">
        <v>313</v>
      </c>
      <c r="S155" s="2" t="s">
        <v>313</v>
      </c>
      <c r="T155" s="2" t="s">
        <v>312</v>
      </c>
      <c r="U155" s="2" t="s">
        <v>312</v>
      </c>
      <c r="V155" s="2" t="s">
        <v>315</v>
      </c>
      <c r="W155" s="2" t="s">
        <v>316</v>
      </c>
      <c r="X155" s="2" t="s">
        <v>318</v>
      </c>
      <c r="Y155" s="2" t="s">
        <v>316</v>
      </c>
      <c r="Z155" s="2" t="s">
        <v>312</v>
      </c>
      <c r="AA155" s="2" t="s">
        <v>316</v>
      </c>
      <c r="AB155" s="2" t="s">
        <v>326</v>
      </c>
      <c r="AC155" s="2" t="s">
        <v>1097</v>
      </c>
      <c r="AD155" s="2" t="s">
        <v>1105</v>
      </c>
    </row>
    <row r="156" spans="1:30" hidden="1" x14ac:dyDescent="0.3">
      <c r="A156" s="2" t="s">
        <v>30</v>
      </c>
      <c r="B156" s="2" t="s">
        <v>534</v>
      </c>
      <c r="C156" s="2" t="s">
        <v>202</v>
      </c>
      <c r="D156" s="2">
        <v>57</v>
      </c>
      <c r="E156" s="2" t="s">
        <v>231</v>
      </c>
      <c r="F156" s="2" t="s">
        <v>233</v>
      </c>
      <c r="G156" s="2" t="s">
        <v>241</v>
      </c>
      <c r="H156" s="2" t="s">
        <v>244</v>
      </c>
      <c r="I156" s="2">
        <v>25</v>
      </c>
      <c r="J156" s="2" t="s">
        <v>965</v>
      </c>
      <c r="K156" s="2" t="s">
        <v>309</v>
      </c>
      <c r="L156" s="2">
        <v>18</v>
      </c>
      <c r="M156" s="2" t="s">
        <v>243</v>
      </c>
      <c r="N156" s="2">
        <v>2</v>
      </c>
      <c r="O156" s="2" t="s">
        <v>314</v>
      </c>
      <c r="P156" s="2" t="s">
        <v>312</v>
      </c>
      <c r="Q156" s="2" t="s">
        <v>311</v>
      </c>
      <c r="R156" s="2" t="s">
        <v>311</v>
      </c>
      <c r="S156" s="2" t="s">
        <v>312</v>
      </c>
      <c r="T156" s="2" t="s">
        <v>314</v>
      </c>
      <c r="U156" s="2" t="s">
        <v>314</v>
      </c>
      <c r="V156" s="2" t="s">
        <v>315</v>
      </c>
      <c r="W156" s="2" t="s">
        <v>316</v>
      </c>
      <c r="X156" s="2" t="s">
        <v>317</v>
      </c>
      <c r="Y156" s="2" t="s">
        <v>315</v>
      </c>
      <c r="Z156" s="2" t="s">
        <v>312</v>
      </c>
      <c r="AA156" s="2" t="s">
        <v>315</v>
      </c>
      <c r="AB156" s="2" t="s">
        <v>323</v>
      </c>
      <c r="AC156" s="2" t="s">
        <v>1101</v>
      </c>
      <c r="AD156" s="2" t="s">
        <v>1105</v>
      </c>
    </row>
    <row r="157" spans="1:30" hidden="1" x14ac:dyDescent="0.3">
      <c r="A157" s="2" t="s">
        <v>30</v>
      </c>
      <c r="B157" s="2" t="s">
        <v>557</v>
      </c>
      <c r="C157" s="2" t="s">
        <v>168</v>
      </c>
      <c r="D157" s="2">
        <v>58</v>
      </c>
      <c r="E157" s="2" t="s">
        <v>231</v>
      </c>
      <c r="F157" s="2" t="s">
        <v>234</v>
      </c>
      <c r="G157" s="2" t="s">
        <v>242</v>
      </c>
      <c r="H157" s="2" t="s">
        <v>245</v>
      </c>
      <c r="I157" s="2">
        <v>21</v>
      </c>
      <c r="J157" s="2" t="s">
        <v>969</v>
      </c>
      <c r="K157" s="2" t="s">
        <v>308</v>
      </c>
      <c r="L157" s="2">
        <v>6</v>
      </c>
      <c r="M157" s="2" t="s">
        <v>243</v>
      </c>
      <c r="N157" s="2">
        <v>1</v>
      </c>
      <c r="O157" s="2" t="s">
        <v>313</v>
      </c>
      <c r="P157" s="2" t="s">
        <v>314</v>
      </c>
      <c r="Q157" s="2" t="s">
        <v>312</v>
      </c>
      <c r="R157" s="2" t="s">
        <v>312</v>
      </c>
      <c r="S157" s="2" t="s">
        <v>311</v>
      </c>
      <c r="T157" s="2" t="s">
        <v>312</v>
      </c>
      <c r="U157" s="2" t="s">
        <v>312</v>
      </c>
      <c r="V157" s="2" t="s">
        <v>315</v>
      </c>
      <c r="W157" s="2" t="s">
        <v>316</v>
      </c>
      <c r="X157" s="2" t="s">
        <v>318</v>
      </c>
      <c r="Y157" s="2" t="s">
        <v>315</v>
      </c>
      <c r="Z157" s="2" t="s">
        <v>312</v>
      </c>
      <c r="AA157" s="2" t="s">
        <v>1095</v>
      </c>
      <c r="AB157" s="2" t="s">
        <v>326</v>
      </c>
      <c r="AC157" s="2" t="s">
        <v>1098</v>
      </c>
      <c r="AD157" s="2" t="s">
        <v>1105</v>
      </c>
    </row>
    <row r="158" spans="1:30" hidden="1" x14ac:dyDescent="0.3">
      <c r="A158" s="2" t="s">
        <v>30</v>
      </c>
      <c r="B158" s="2" t="s">
        <v>637</v>
      </c>
      <c r="C158" s="2" t="s">
        <v>666</v>
      </c>
      <c r="D158" s="2">
        <v>58</v>
      </c>
      <c r="E158" s="2" t="s">
        <v>231</v>
      </c>
      <c r="F158" s="2" t="s">
        <v>237</v>
      </c>
      <c r="G158" s="2" t="s">
        <v>243</v>
      </c>
      <c r="H158" s="2" t="s">
        <v>246</v>
      </c>
      <c r="I158" s="2">
        <v>23</v>
      </c>
      <c r="J158" s="2" t="s">
        <v>1072</v>
      </c>
      <c r="K158" s="2" t="s">
        <v>310</v>
      </c>
      <c r="L158" s="2">
        <v>7</v>
      </c>
      <c r="M158" s="2" t="s">
        <v>255</v>
      </c>
      <c r="N158" s="2">
        <v>3</v>
      </c>
      <c r="O158" s="2" t="s">
        <v>312</v>
      </c>
      <c r="P158" s="2" t="s">
        <v>314</v>
      </c>
      <c r="Q158" s="2" t="s">
        <v>312</v>
      </c>
      <c r="R158" s="2" t="s">
        <v>313</v>
      </c>
      <c r="S158" s="2" t="s">
        <v>314</v>
      </c>
      <c r="T158" s="2" t="s">
        <v>312</v>
      </c>
      <c r="U158" s="2" t="s">
        <v>312</v>
      </c>
      <c r="V158" s="2" t="s">
        <v>315</v>
      </c>
      <c r="W158" s="2" t="s">
        <v>316</v>
      </c>
      <c r="X158" s="2" t="s">
        <v>319</v>
      </c>
      <c r="Y158" s="2" t="s">
        <v>316</v>
      </c>
      <c r="Z158" s="2" t="s">
        <v>312</v>
      </c>
      <c r="AA158" s="2" t="s">
        <v>1095</v>
      </c>
      <c r="AB158" s="2" t="s">
        <v>326</v>
      </c>
      <c r="AC158" s="2" t="s">
        <v>1096</v>
      </c>
      <c r="AD158" s="2" t="s">
        <v>1105</v>
      </c>
    </row>
    <row r="159" spans="1:30" hidden="1" x14ac:dyDescent="0.3">
      <c r="A159" s="2" t="s">
        <v>30</v>
      </c>
      <c r="B159" s="2" t="s">
        <v>550</v>
      </c>
      <c r="C159" s="2" t="s">
        <v>141</v>
      </c>
      <c r="D159" s="2">
        <v>60</v>
      </c>
      <c r="E159" s="2" t="s">
        <v>231</v>
      </c>
      <c r="F159" s="2" t="s">
        <v>235</v>
      </c>
      <c r="G159" s="2" t="s">
        <v>243</v>
      </c>
      <c r="H159" s="2" t="s">
        <v>245</v>
      </c>
      <c r="I159" s="2">
        <v>29</v>
      </c>
      <c r="J159" s="2" t="s">
        <v>995</v>
      </c>
      <c r="K159" s="2" t="s">
        <v>310</v>
      </c>
      <c r="L159" s="2">
        <v>1</v>
      </c>
      <c r="M159" s="2" t="s">
        <v>241</v>
      </c>
      <c r="N159" s="2">
        <v>1</v>
      </c>
      <c r="O159" s="2" t="s">
        <v>314</v>
      </c>
      <c r="P159" s="2" t="s">
        <v>312</v>
      </c>
      <c r="Q159" s="2" t="s">
        <v>314</v>
      </c>
      <c r="R159" s="2" t="s">
        <v>313</v>
      </c>
      <c r="S159" s="2" t="s">
        <v>312</v>
      </c>
      <c r="T159" s="2" t="s">
        <v>312</v>
      </c>
      <c r="U159" s="2" t="s">
        <v>312</v>
      </c>
      <c r="V159" s="2" t="s">
        <v>315</v>
      </c>
      <c r="W159" s="2" t="s">
        <v>316</v>
      </c>
      <c r="X159" s="2" t="s">
        <v>317</v>
      </c>
      <c r="Y159" s="2" t="s">
        <v>315</v>
      </c>
      <c r="Z159" s="2" t="s">
        <v>312</v>
      </c>
      <c r="AA159" s="2" t="s">
        <v>321</v>
      </c>
      <c r="AB159" s="2" t="s">
        <v>326</v>
      </c>
      <c r="AC159" s="2" t="s">
        <v>1100</v>
      </c>
      <c r="AD159" s="2" t="s">
        <v>1105</v>
      </c>
    </row>
    <row r="160" spans="1:30" x14ac:dyDescent="0.3">
      <c r="A160" s="2" t="s">
        <v>30</v>
      </c>
      <c r="B160" s="2" t="s">
        <v>602</v>
      </c>
      <c r="C160" s="2" t="s">
        <v>166</v>
      </c>
      <c r="D160" s="2">
        <v>28</v>
      </c>
      <c r="E160" s="2" t="s">
        <v>232</v>
      </c>
      <c r="F160" s="2" t="s">
        <v>235</v>
      </c>
      <c r="G160" s="2" t="s">
        <v>242</v>
      </c>
      <c r="H160" s="2" t="s">
        <v>246</v>
      </c>
      <c r="I160" s="2">
        <v>19</v>
      </c>
      <c r="J160" s="2" t="s">
        <v>267</v>
      </c>
      <c r="K160" s="2" t="s">
        <v>310</v>
      </c>
      <c r="L160" s="2">
        <v>10</v>
      </c>
      <c r="M160" s="2" t="s">
        <v>249</v>
      </c>
      <c r="N160" s="2">
        <v>3</v>
      </c>
      <c r="O160" s="2" t="s">
        <v>314</v>
      </c>
      <c r="P160" s="2" t="s">
        <v>313</v>
      </c>
      <c r="Q160" s="2" t="s">
        <v>314</v>
      </c>
      <c r="R160" s="2" t="s">
        <v>312</v>
      </c>
      <c r="S160" s="2" t="s">
        <v>314</v>
      </c>
      <c r="T160" s="2" t="s">
        <v>314</v>
      </c>
      <c r="U160" s="2" t="s">
        <v>314</v>
      </c>
      <c r="V160" s="2" t="s">
        <v>315</v>
      </c>
      <c r="W160" s="2" t="s">
        <v>316</v>
      </c>
      <c r="X160" s="2" t="s">
        <v>319</v>
      </c>
      <c r="Y160" s="2" t="s">
        <v>315</v>
      </c>
      <c r="Z160" s="2" t="s">
        <v>314</v>
      </c>
      <c r="AA160" s="2" t="s">
        <v>321</v>
      </c>
      <c r="AB160" s="2" t="s">
        <v>324</v>
      </c>
      <c r="AC160" s="2" t="s">
        <v>1104</v>
      </c>
      <c r="AD160" s="2" t="s">
        <v>1105</v>
      </c>
    </row>
    <row r="161" spans="1:30" x14ac:dyDescent="0.3">
      <c r="A161" s="1">
        <v>45758.321597222217</v>
      </c>
      <c r="B161" s="2" t="s">
        <v>123</v>
      </c>
      <c r="C161" s="2" t="s">
        <v>835</v>
      </c>
      <c r="D161" s="2">
        <v>29</v>
      </c>
      <c r="E161" s="2" t="s">
        <v>232</v>
      </c>
      <c r="F161" s="2" t="s">
        <v>233</v>
      </c>
      <c r="G161" s="2" t="s">
        <v>238</v>
      </c>
      <c r="H161" s="2" t="s">
        <v>246</v>
      </c>
      <c r="I161" s="2">
        <v>32</v>
      </c>
      <c r="J161" s="2" t="s">
        <v>303</v>
      </c>
      <c r="K161" s="2" t="s">
        <v>308</v>
      </c>
      <c r="L161" s="2">
        <v>4</v>
      </c>
      <c r="M161" s="2" t="s">
        <v>243</v>
      </c>
      <c r="N161" s="2">
        <v>3</v>
      </c>
      <c r="O161" s="2" t="s">
        <v>314</v>
      </c>
      <c r="P161" s="2" t="s">
        <v>313</v>
      </c>
      <c r="Q161" s="2" t="s">
        <v>314</v>
      </c>
      <c r="R161" s="2" t="s">
        <v>313</v>
      </c>
      <c r="S161" s="2" t="s">
        <v>314</v>
      </c>
      <c r="T161" s="2" t="s">
        <v>313</v>
      </c>
      <c r="U161" s="2" t="s">
        <v>314</v>
      </c>
      <c r="V161" s="2" t="s">
        <v>315</v>
      </c>
      <c r="W161" s="2" t="s">
        <v>316</v>
      </c>
      <c r="X161" s="2" t="s">
        <v>317</v>
      </c>
      <c r="Y161" s="2" t="s">
        <v>315</v>
      </c>
      <c r="Z161" s="2" t="s">
        <v>314</v>
      </c>
      <c r="AA161" s="2" t="s">
        <v>322</v>
      </c>
      <c r="AB161" s="2" t="s">
        <v>325</v>
      </c>
      <c r="AC161" s="2" t="s">
        <v>419</v>
      </c>
      <c r="AD161" s="2" t="s">
        <v>519</v>
      </c>
    </row>
    <row r="162" spans="1:30" x14ac:dyDescent="0.3">
      <c r="A162" s="2" t="s">
        <v>30</v>
      </c>
      <c r="B162" s="2" t="s">
        <v>531</v>
      </c>
      <c r="C162" s="2" t="s">
        <v>778</v>
      </c>
      <c r="D162" s="2">
        <v>29</v>
      </c>
      <c r="E162" s="2" t="s">
        <v>232</v>
      </c>
      <c r="F162" s="2" t="s">
        <v>234</v>
      </c>
      <c r="G162" s="2" t="s">
        <v>239</v>
      </c>
      <c r="H162" s="2" t="s">
        <v>245</v>
      </c>
      <c r="I162" s="2">
        <v>24</v>
      </c>
      <c r="J162" s="2" t="s">
        <v>243</v>
      </c>
      <c r="K162" s="2" t="s">
        <v>308</v>
      </c>
      <c r="L162" s="2">
        <v>0</v>
      </c>
      <c r="M162" s="2" t="s">
        <v>251</v>
      </c>
      <c r="N162" s="2">
        <v>0</v>
      </c>
      <c r="O162" s="2" t="s">
        <v>311</v>
      </c>
      <c r="P162" s="2" t="s">
        <v>313</v>
      </c>
      <c r="Q162" s="2" t="s">
        <v>311</v>
      </c>
      <c r="R162" s="2" t="s">
        <v>311</v>
      </c>
      <c r="S162" s="2" t="s">
        <v>311</v>
      </c>
      <c r="T162" s="2" t="s">
        <v>311</v>
      </c>
      <c r="U162" s="2" t="s">
        <v>311</v>
      </c>
      <c r="V162" s="2" t="s">
        <v>315</v>
      </c>
      <c r="W162" s="2" t="s">
        <v>316</v>
      </c>
      <c r="X162" s="2" t="s">
        <v>317</v>
      </c>
      <c r="Y162" s="2" t="s">
        <v>315</v>
      </c>
      <c r="Z162" s="2" t="s">
        <v>314</v>
      </c>
      <c r="AA162" s="2" t="s">
        <v>321</v>
      </c>
      <c r="AB162" s="2" t="s">
        <v>326</v>
      </c>
      <c r="AC162" s="2" t="s">
        <v>1101</v>
      </c>
      <c r="AD162" s="2" t="s">
        <v>1105</v>
      </c>
    </row>
    <row r="163" spans="1:30" x14ac:dyDescent="0.3">
      <c r="A163" s="2" t="s">
        <v>30</v>
      </c>
      <c r="B163" s="2" t="s">
        <v>640</v>
      </c>
      <c r="C163" s="2" t="s">
        <v>669</v>
      </c>
      <c r="D163" s="2">
        <v>29</v>
      </c>
      <c r="E163" s="2" t="s">
        <v>232</v>
      </c>
      <c r="F163" s="2" t="s">
        <v>237</v>
      </c>
      <c r="G163" s="2" t="s">
        <v>238</v>
      </c>
      <c r="H163" s="2" t="s">
        <v>246</v>
      </c>
      <c r="I163" s="2">
        <v>20</v>
      </c>
      <c r="J163" s="2" t="s">
        <v>1055</v>
      </c>
      <c r="K163" s="2" t="s">
        <v>309</v>
      </c>
      <c r="L163" s="2">
        <v>19</v>
      </c>
      <c r="M163" s="2" t="s">
        <v>251</v>
      </c>
      <c r="N163" s="2">
        <v>0</v>
      </c>
      <c r="O163" s="2" t="s">
        <v>311</v>
      </c>
      <c r="P163" s="2" t="s">
        <v>313</v>
      </c>
      <c r="Q163" s="2" t="s">
        <v>313</v>
      </c>
      <c r="R163" s="2" t="s">
        <v>314</v>
      </c>
      <c r="S163" s="2" t="s">
        <v>313</v>
      </c>
      <c r="T163" s="2" t="s">
        <v>311</v>
      </c>
      <c r="U163" s="2" t="s">
        <v>311</v>
      </c>
      <c r="V163" s="2" t="s">
        <v>315</v>
      </c>
      <c r="W163" s="2" t="s">
        <v>316</v>
      </c>
      <c r="X163" s="2" t="s">
        <v>317</v>
      </c>
      <c r="Y163" s="2" t="s">
        <v>315</v>
      </c>
      <c r="Z163" s="2" t="s">
        <v>314</v>
      </c>
      <c r="AA163" s="2" t="s">
        <v>316</v>
      </c>
      <c r="AB163" s="2" t="s">
        <v>324</v>
      </c>
      <c r="AC163" s="2" t="s">
        <v>1100</v>
      </c>
      <c r="AD163" s="2" t="s">
        <v>1105</v>
      </c>
    </row>
    <row r="164" spans="1:30" x14ac:dyDescent="0.3">
      <c r="A164" s="2" t="s">
        <v>30</v>
      </c>
      <c r="B164" s="2" t="s">
        <v>545</v>
      </c>
      <c r="C164" s="2" t="s">
        <v>747</v>
      </c>
      <c r="D164" s="2">
        <v>30</v>
      </c>
      <c r="E164" s="2" t="s">
        <v>232</v>
      </c>
      <c r="F164" s="2" t="s">
        <v>236</v>
      </c>
      <c r="G164" s="2" t="s">
        <v>243</v>
      </c>
      <c r="H164" s="2" t="s">
        <v>246</v>
      </c>
      <c r="I164" s="2">
        <v>17</v>
      </c>
      <c r="J164" s="2" t="s">
        <v>250</v>
      </c>
      <c r="K164" s="2" t="s">
        <v>308</v>
      </c>
      <c r="L164" s="2">
        <v>13</v>
      </c>
      <c r="M164" s="2" t="s">
        <v>241</v>
      </c>
      <c r="N164" s="2">
        <v>1</v>
      </c>
      <c r="O164" s="2" t="s">
        <v>313</v>
      </c>
      <c r="P164" s="2" t="s">
        <v>313</v>
      </c>
      <c r="Q164" s="2" t="s">
        <v>312</v>
      </c>
      <c r="R164" s="2" t="s">
        <v>313</v>
      </c>
      <c r="S164" s="2" t="s">
        <v>311</v>
      </c>
      <c r="T164" s="2" t="s">
        <v>313</v>
      </c>
      <c r="U164" s="2" t="s">
        <v>313</v>
      </c>
      <c r="V164" s="2" t="s">
        <v>315</v>
      </c>
      <c r="W164" s="2" t="s">
        <v>316</v>
      </c>
      <c r="X164" s="2" t="s">
        <v>320</v>
      </c>
      <c r="Y164" s="2" t="s">
        <v>316</v>
      </c>
      <c r="Z164" s="2" t="s">
        <v>314</v>
      </c>
      <c r="AA164" s="2" t="s">
        <v>316</v>
      </c>
      <c r="AB164" s="2" t="s">
        <v>324</v>
      </c>
      <c r="AC164" s="2" t="s">
        <v>1101</v>
      </c>
      <c r="AD164" s="2" t="s">
        <v>1105</v>
      </c>
    </row>
    <row r="165" spans="1:30" x14ac:dyDescent="0.3">
      <c r="A165" s="2" t="s">
        <v>30</v>
      </c>
      <c r="B165" s="2" t="s">
        <v>560</v>
      </c>
      <c r="C165" s="2" t="s">
        <v>759</v>
      </c>
      <c r="D165" s="2">
        <v>32</v>
      </c>
      <c r="E165" s="2" t="s">
        <v>232</v>
      </c>
      <c r="F165" s="2" t="s">
        <v>234</v>
      </c>
      <c r="G165" s="2" t="s">
        <v>243</v>
      </c>
      <c r="H165" s="2" t="s">
        <v>245</v>
      </c>
      <c r="I165" s="2">
        <v>27</v>
      </c>
      <c r="J165" s="2" t="s">
        <v>955</v>
      </c>
      <c r="K165" s="2" t="s">
        <v>309</v>
      </c>
      <c r="L165" s="2">
        <v>20</v>
      </c>
      <c r="M165" s="2" t="s">
        <v>262</v>
      </c>
      <c r="N165" s="2">
        <v>0</v>
      </c>
      <c r="O165" s="2" t="s">
        <v>311</v>
      </c>
      <c r="P165" s="2" t="s">
        <v>314</v>
      </c>
      <c r="Q165" s="2" t="s">
        <v>311</v>
      </c>
      <c r="R165" s="2" t="s">
        <v>312</v>
      </c>
      <c r="S165" s="2" t="s">
        <v>311</v>
      </c>
      <c r="T165" s="2" t="s">
        <v>313</v>
      </c>
      <c r="U165" s="2" t="s">
        <v>313</v>
      </c>
      <c r="V165" s="2" t="s">
        <v>315</v>
      </c>
      <c r="W165" s="2" t="s">
        <v>316</v>
      </c>
      <c r="X165" s="2" t="s">
        <v>318</v>
      </c>
      <c r="Y165" s="2" t="s">
        <v>315</v>
      </c>
      <c r="Z165" s="2" t="s">
        <v>314</v>
      </c>
      <c r="AA165" s="2" t="s">
        <v>321</v>
      </c>
      <c r="AB165" s="2" t="s">
        <v>324</v>
      </c>
      <c r="AC165" s="2" t="s">
        <v>1103</v>
      </c>
      <c r="AD165" s="2" t="s">
        <v>1105</v>
      </c>
    </row>
    <row r="166" spans="1:30" hidden="1" x14ac:dyDescent="0.3">
      <c r="A166" s="1">
        <v>45817.530405092592</v>
      </c>
      <c r="B166" s="2" t="s">
        <v>100</v>
      </c>
      <c r="C166" s="2" t="s">
        <v>819</v>
      </c>
      <c r="D166" s="2">
        <v>33</v>
      </c>
      <c r="E166" s="2" t="s">
        <v>231</v>
      </c>
      <c r="F166" s="2" t="s">
        <v>235</v>
      </c>
      <c r="G166" s="2" t="s">
        <v>239</v>
      </c>
      <c r="H166" s="2" t="s">
        <v>245</v>
      </c>
      <c r="I166" s="2">
        <v>24</v>
      </c>
      <c r="J166" s="2" t="s">
        <v>251</v>
      </c>
      <c r="K166" s="2" t="s">
        <v>310</v>
      </c>
      <c r="L166" s="2">
        <v>16</v>
      </c>
      <c r="M166" s="2" t="s">
        <v>262</v>
      </c>
      <c r="N166" s="2">
        <v>3</v>
      </c>
      <c r="O166" s="2" t="s">
        <v>311</v>
      </c>
      <c r="P166" s="2" t="s">
        <v>311</v>
      </c>
      <c r="Q166" s="2" t="s">
        <v>312</v>
      </c>
      <c r="R166" s="2" t="s">
        <v>313</v>
      </c>
      <c r="S166" s="2" t="s">
        <v>314</v>
      </c>
      <c r="T166" s="2" t="s">
        <v>314</v>
      </c>
      <c r="U166" s="2" t="s">
        <v>312</v>
      </c>
      <c r="V166" s="2" t="s">
        <v>315</v>
      </c>
      <c r="W166" s="2" t="s">
        <v>316</v>
      </c>
      <c r="X166" s="2" t="s">
        <v>317</v>
      </c>
      <c r="Y166" s="2" t="s">
        <v>315</v>
      </c>
      <c r="Z166" s="2" t="s">
        <v>314</v>
      </c>
      <c r="AA166" s="2" t="s">
        <v>316</v>
      </c>
      <c r="AB166" s="2" t="s">
        <v>326</v>
      </c>
      <c r="AC166" s="2" t="s">
        <v>396</v>
      </c>
      <c r="AD166" s="2" t="s">
        <v>496</v>
      </c>
    </row>
    <row r="167" spans="1:30" hidden="1" x14ac:dyDescent="0.3">
      <c r="A167" s="1">
        <v>45795.474317129629</v>
      </c>
      <c r="B167" s="2" t="s">
        <v>112</v>
      </c>
      <c r="C167" s="2" t="s">
        <v>779</v>
      </c>
      <c r="D167" s="2">
        <v>33</v>
      </c>
      <c r="E167" s="2" t="s">
        <v>231</v>
      </c>
      <c r="F167" s="2" t="s">
        <v>233</v>
      </c>
      <c r="G167" s="2" t="s">
        <v>238</v>
      </c>
      <c r="H167" s="2" t="s">
        <v>246</v>
      </c>
      <c r="I167" s="2">
        <v>21</v>
      </c>
      <c r="J167" s="2" t="s">
        <v>298</v>
      </c>
      <c r="K167" s="2" t="s">
        <v>308</v>
      </c>
      <c r="L167" s="2">
        <v>9</v>
      </c>
      <c r="M167" s="2" t="s">
        <v>251</v>
      </c>
      <c r="N167" s="2">
        <v>2</v>
      </c>
      <c r="O167" s="2" t="s">
        <v>314</v>
      </c>
      <c r="P167" s="2" t="s">
        <v>313</v>
      </c>
      <c r="Q167" s="2" t="s">
        <v>313</v>
      </c>
      <c r="R167" s="2" t="s">
        <v>311</v>
      </c>
      <c r="S167" s="2" t="s">
        <v>312</v>
      </c>
      <c r="T167" s="2" t="s">
        <v>314</v>
      </c>
      <c r="U167" s="2" t="s">
        <v>314</v>
      </c>
      <c r="V167" s="2" t="s">
        <v>315</v>
      </c>
      <c r="W167" s="2" t="s">
        <v>316</v>
      </c>
      <c r="X167" s="2" t="s">
        <v>320</v>
      </c>
      <c r="Y167" s="2" t="s">
        <v>316</v>
      </c>
      <c r="Z167" s="2" t="s">
        <v>314</v>
      </c>
      <c r="AA167" s="2" t="s">
        <v>322</v>
      </c>
      <c r="AB167" s="2" t="s">
        <v>325</v>
      </c>
      <c r="AC167" s="2" t="s">
        <v>408</v>
      </c>
      <c r="AD167" s="2" t="s">
        <v>508</v>
      </c>
    </row>
    <row r="168" spans="1:30" x14ac:dyDescent="0.3">
      <c r="A168" s="2" t="s">
        <v>30</v>
      </c>
      <c r="B168" s="2" t="s">
        <v>575</v>
      </c>
      <c r="C168" s="2" t="s">
        <v>221</v>
      </c>
      <c r="D168" s="2">
        <v>33</v>
      </c>
      <c r="E168" s="2" t="s">
        <v>232</v>
      </c>
      <c r="F168" s="2" t="s">
        <v>235</v>
      </c>
      <c r="G168" s="2" t="s">
        <v>240</v>
      </c>
      <c r="H168" s="2" t="s">
        <v>245</v>
      </c>
      <c r="I168" s="2">
        <v>28</v>
      </c>
      <c r="J168" s="2" t="s">
        <v>986</v>
      </c>
      <c r="K168" s="2" t="s">
        <v>310</v>
      </c>
      <c r="L168" s="2">
        <v>19</v>
      </c>
      <c r="M168" s="2" t="s">
        <v>262</v>
      </c>
      <c r="N168" s="2">
        <v>3</v>
      </c>
      <c r="O168" s="2" t="s">
        <v>311</v>
      </c>
      <c r="P168" s="2" t="s">
        <v>311</v>
      </c>
      <c r="Q168" s="2" t="s">
        <v>312</v>
      </c>
      <c r="R168" s="2" t="s">
        <v>312</v>
      </c>
      <c r="S168" s="2" t="s">
        <v>312</v>
      </c>
      <c r="T168" s="2" t="s">
        <v>313</v>
      </c>
      <c r="U168" s="2" t="s">
        <v>313</v>
      </c>
      <c r="V168" s="2" t="s">
        <v>315</v>
      </c>
      <c r="W168" s="2" t="s">
        <v>316</v>
      </c>
      <c r="X168" s="2" t="s">
        <v>317</v>
      </c>
      <c r="Y168" s="2" t="s">
        <v>315</v>
      </c>
      <c r="Z168" s="2" t="s">
        <v>314</v>
      </c>
      <c r="AA168" s="2" t="s">
        <v>321</v>
      </c>
      <c r="AB168" s="2" t="s">
        <v>325</v>
      </c>
      <c r="AC168" s="2" t="s">
        <v>1101</v>
      </c>
      <c r="AD168" s="2" t="s">
        <v>1105</v>
      </c>
    </row>
    <row r="169" spans="1:30" hidden="1" x14ac:dyDescent="0.3">
      <c r="A169" s="2" t="s">
        <v>30</v>
      </c>
      <c r="B169" s="2" t="s">
        <v>648</v>
      </c>
      <c r="C169" s="2" t="s">
        <v>853</v>
      </c>
      <c r="D169" s="2">
        <v>34</v>
      </c>
      <c r="E169" s="2" t="s">
        <v>231</v>
      </c>
      <c r="F169" s="2" t="s">
        <v>234</v>
      </c>
      <c r="G169" s="2" t="s">
        <v>238</v>
      </c>
      <c r="H169" s="2" t="s">
        <v>246</v>
      </c>
      <c r="I169" s="2">
        <v>10</v>
      </c>
      <c r="J169" s="2" t="s">
        <v>1064</v>
      </c>
      <c r="K169" s="2" t="s">
        <v>309</v>
      </c>
      <c r="L169" s="2">
        <v>1</v>
      </c>
      <c r="M169" s="2" t="s">
        <v>275</v>
      </c>
      <c r="N169" s="2">
        <v>3</v>
      </c>
      <c r="O169" s="2" t="s">
        <v>312</v>
      </c>
      <c r="P169" s="2" t="s">
        <v>312</v>
      </c>
      <c r="Q169" s="2" t="s">
        <v>313</v>
      </c>
      <c r="R169" s="2" t="s">
        <v>312</v>
      </c>
      <c r="S169" s="2" t="s">
        <v>312</v>
      </c>
      <c r="T169" s="2" t="s">
        <v>314</v>
      </c>
      <c r="U169" s="2" t="s">
        <v>314</v>
      </c>
      <c r="V169" s="2" t="s">
        <v>315</v>
      </c>
      <c r="W169" s="2" t="s">
        <v>316</v>
      </c>
      <c r="X169" s="2" t="s">
        <v>320</v>
      </c>
      <c r="Y169" s="2" t="s">
        <v>315</v>
      </c>
      <c r="Z169" s="2" t="s">
        <v>314</v>
      </c>
      <c r="AA169" s="2" t="s">
        <v>1095</v>
      </c>
      <c r="AB169" s="2" t="s">
        <v>324</v>
      </c>
      <c r="AC169" s="2" t="s">
        <v>1098</v>
      </c>
      <c r="AD169" s="2" t="s">
        <v>1105</v>
      </c>
    </row>
    <row r="170" spans="1:30" hidden="1" x14ac:dyDescent="0.3">
      <c r="A170" s="2" t="s">
        <v>30</v>
      </c>
      <c r="B170" s="2" t="s">
        <v>587</v>
      </c>
      <c r="C170" s="2" t="s">
        <v>152</v>
      </c>
      <c r="D170" s="2">
        <v>35</v>
      </c>
      <c r="E170" s="2" t="s">
        <v>231</v>
      </c>
      <c r="F170" s="2" t="s">
        <v>237</v>
      </c>
      <c r="G170" s="2" t="s">
        <v>238</v>
      </c>
      <c r="H170" s="2" t="s">
        <v>246</v>
      </c>
      <c r="I170" s="2">
        <v>5</v>
      </c>
      <c r="J170" s="2" t="s">
        <v>955</v>
      </c>
      <c r="K170" s="2" t="s">
        <v>310</v>
      </c>
      <c r="L170" s="2">
        <v>10</v>
      </c>
      <c r="M170" s="2" t="s">
        <v>243</v>
      </c>
      <c r="N170" s="2">
        <v>3</v>
      </c>
      <c r="O170" s="2" t="s">
        <v>314</v>
      </c>
      <c r="P170" s="2" t="s">
        <v>311</v>
      </c>
      <c r="Q170" s="2" t="s">
        <v>312</v>
      </c>
      <c r="R170" s="2" t="s">
        <v>312</v>
      </c>
      <c r="S170" s="2" t="s">
        <v>314</v>
      </c>
      <c r="T170" s="2" t="s">
        <v>314</v>
      </c>
      <c r="U170" s="2" t="s">
        <v>314</v>
      </c>
      <c r="V170" s="2" t="s">
        <v>315</v>
      </c>
      <c r="W170" s="2" t="s">
        <v>316</v>
      </c>
      <c r="X170" s="2" t="s">
        <v>318</v>
      </c>
      <c r="Y170" s="2" t="s">
        <v>316</v>
      </c>
      <c r="Z170" s="2" t="s">
        <v>314</v>
      </c>
      <c r="AA170" s="2" t="s">
        <v>1095</v>
      </c>
      <c r="AB170" s="2" t="s">
        <v>323</v>
      </c>
      <c r="AC170" s="2" t="s">
        <v>1100</v>
      </c>
      <c r="AD170" s="2" t="s">
        <v>1105</v>
      </c>
    </row>
    <row r="171" spans="1:30" hidden="1" x14ac:dyDescent="0.3">
      <c r="A171" s="1">
        <v>45763.97855324074</v>
      </c>
      <c r="B171" s="2" t="s">
        <v>45</v>
      </c>
      <c r="C171" s="2" t="s">
        <v>894</v>
      </c>
      <c r="D171" s="2">
        <v>39</v>
      </c>
      <c r="E171" s="2" t="s">
        <v>231</v>
      </c>
      <c r="F171" s="2" t="s">
        <v>236</v>
      </c>
      <c r="G171" s="2" t="s">
        <v>243</v>
      </c>
      <c r="H171" s="2" t="s">
        <v>244</v>
      </c>
      <c r="I171" s="2">
        <v>26</v>
      </c>
      <c r="J171" s="2" t="s">
        <v>256</v>
      </c>
      <c r="K171" s="2" t="s">
        <v>309</v>
      </c>
      <c r="L171" s="2">
        <v>11</v>
      </c>
      <c r="M171" s="2" t="s">
        <v>249</v>
      </c>
      <c r="N171" s="2">
        <v>0</v>
      </c>
      <c r="O171" s="2" t="s">
        <v>313</v>
      </c>
      <c r="P171" s="2" t="s">
        <v>311</v>
      </c>
      <c r="Q171" s="2" t="s">
        <v>311</v>
      </c>
      <c r="R171" s="2" t="s">
        <v>313</v>
      </c>
      <c r="S171" s="2" t="s">
        <v>312</v>
      </c>
      <c r="T171" s="2" t="s">
        <v>313</v>
      </c>
      <c r="U171" s="2" t="s">
        <v>311</v>
      </c>
      <c r="V171" s="2" t="s">
        <v>315</v>
      </c>
      <c r="W171" s="2" t="s">
        <v>316</v>
      </c>
      <c r="X171" s="2" t="s">
        <v>317</v>
      </c>
      <c r="Y171" s="2" t="s">
        <v>316</v>
      </c>
      <c r="Z171" s="2" t="s">
        <v>314</v>
      </c>
      <c r="AA171" s="2" t="s">
        <v>316</v>
      </c>
      <c r="AB171" s="2" t="s">
        <v>324</v>
      </c>
      <c r="AC171" s="2" t="s">
        <v>341</v>
      </c>
      <c r="AD171" s="2" t="s">
        <v>441</v>
      </c>
    </row>
    <row r="172" spans="1:30" hidden="1" x14ac:dyDescent="0.3">
      <c r="A172" s="2" t="s">
        <v>30</v>
      </c>
      <c r="B172" s="2" t="s">
        <v>540</v>
      </c>
      <c r="C172" s="2" t="s">
        <v>173</v>
      </c>
      <c r="D172" s="2">
        <v>40</v>
      </c>
      <c r="E172" s="2" t="s">
        <v>231</v>
      </c>
      <c r="F172" s="2" t="s">
        <v>237</v>
      </c>
      <c r="G172" s="2" t="s">
        <v>238</v>
      </c>
      <c r="H172" s="2" t="s">
        <v>245</v>
      </c>
      <c r="I172" s="2">
        <v>4</v>
      </c>
      <c r="J172" s="2" t="s">
        <v>253</v>
      </c>
      <c r="K172" s="2" t="s">
        <v>309</v>
      </c>
      <c r="L172" s="2">
        <v>8</v>
      </c>
      <c r="M172" s="2" t="s">
        <v>262</v>
      </c>
      <c r="N172" s="2">
        <v>2</v>
      </c>
      <c r="O172" s="2" t="s">
        <v>311</v>
      </c>
      <c r="P172" s="2" t="s">
        <v>311</v>
      </c>
      <c r="Q172" s="2" t="s">
        <v>314</v>
      </c>
      <c r="R172" s="2" t="s">
        <v>313</v>
      </c>
      <c r="S172" s="2" t="s">
        <v>312</v>
      </c>
      <c r="T172" s="2" t="s">
        <v>313</v>
      </c>
      <c r="U172" s="2" t="s">
        <v>313</v>
      </c>
      <c r="V172" s="2" t="s">
        <v>315</v>
      </c>
      <c r="W172" s="2" t="s">
        <v>316</v>
      </c>
      <c r="X172" s="2" t="s">
        <v>317</v>
      </c>
      <c r="Y172" s="2" t="s">
        <v>316</v>
      </c>
      <c r="Z172" s="2" t="s">
        <v>314</v>
      </c>
      <c r="AA172" s="2" t="s">
        <v>316</v>
      </c>
      <c r="AB172" s="2" t="s">
        <v>325</v>
      </c>
      <c r="AC172" s="2" t="s">
        <v>1099</v>
      </c>
      <c r="AD172" s="2" t="s">
        <v>1105</v>
      </c>
    </row>
    <row r="173" spans="1:30" x14ac:dyDescent="0.3">
      <c r="A173" s="2" t="s">
        <v>30</v>
      </c>
      <c r="B173" s="2" t="s">
        <v>530</v>
      </c>
      <c r="C173" s="2" t="s">
        <v>696</v>
      </c>
      <c r="D173" s="2">
        <v>42</v>
      </c>
      <c r="E173" s="2" t="s">
        <v>232</v>
      </c>
      <c r="F173" s="2" t="s">
        <v>236</v>
      </c>
      <c r="G173" s="2" t="s">
        <v>238</v>
      </c>
      <c r="H173" s="2" t="s">
        <v>245</v>
      </c>
      <c r="I173" s="2">
        <v>5</v>
      </c>
      <c r="J173" s="2" t="s">
        <v>249</v>
      </c>
      <c r="K173" s="2" t="s">
        <v>310</v>
      </c>
      <c r="L173" s="2">
        <v>10</v>
      </c>
      <c r="M173" s="2" t="s">
        <v>241</v>
      </c>
      <c r="N173" s="2">
        <v>1</v>
      </c>
      <c r="O173" s="2" t="s">
        <v>312</v>
      </c>
      <c r="P173" s="2" t="s">
        <v>313</v>
      </c>
      <c r="Q173" s="2" t="s">
        <v>313</v>
      </c>
      <c r="R173" s="2" t="s">
        <v>312</v>
      </c>
      <c r="S173" s="2" t="s">
        <v>312</v>
      </c>
      <c r="T173" s="2" t="s">
        <v>311</v>
      </c>
      <c r="U173" s="2" t="s">
        <v>311</v>
      </c>
      <c r="V173" s="2" t="s">
        <v>315</v>
      </c>
      <c r="W173" s="2" t="s">
        <v>316</v>
      </c>
      <c r="X173" s="2" t="s">
        <v>320</v>
      </c>
      <c r="Y173" s="2" t="s">
        <v>315</v>
      </c>
      <c r="Z173" s="2" t="s">
        <v>314</v>
      </c>
      <c r="AA173" s="2" t="s">
        <v>321</v>
      </c>
      <c r="AB173" s="2" t="s">
        <v>325</v>
      </c>
      <c r="AC173" s="2" t="s">
        <v>1099</v>
      </c>
      <c r="AD173" s="2" t="s">
        <v>1105</v>
      </c>
    </row>
    <row r="174" spans="1:30" hidden="1" x14ac:dyDescent="0.3">
      <c r="A174" s="2" t="s">
        <v>30</v>
      </c>
      <c r="B174" s="2" t="s">
        <v>613</v>
      </c>
      <c r="C174" s="2" t="s">
        <v>811</v>
      </c>
      <c r="D174" s="2">
        <v>43</v>
      </c>
      <c r="E174" s="2" t="s">
        <v>231</v>
      </c>
      <c r="F174" s="2" t="s">
        <v>233</v>
      </c>
      <c r="G174" s="2" t="s">
        <v>240</v>
      </c>
      <c r="H174" s="2" t="s">
        <v>245</v>
      </c>
      <c r="I174" s="2">
        <v>13</v>
      </c>
      <c r="J174" s="2" t="s">
        <v>980</v>
      </c>
      <c r="K174" s="2" t="s">
        <v>309</v>
      </c>
      <c r="L174" s="2">
        <v>0</v>
      </c>
      <c r="M174" s="2" t="s">
        <v>249</v>
      </c>
      <c r="N174" s="2">
        <v>2</v>
      </c>
      <c r="O174" s="2" t="s">
        <v>312</v>
      </c>
      <c r="P174" s="2" t="s">
        <v>313</v>
      </c>
      <c r="Q174" s="2" t="s">
        <v>311</v>
      </c>
      <c r="R174" s="2" t="s">
        <v>312</v>
      </c>
      <c r="S174" s="2" t="s">
        <v>313</v>
      </c>
      <c r="T174" s="2" t="s">
        <v>314</v>
      </c>
      <c r="U174" s="2" t="s">
        <v>314</v>
      </c>
      <c r="V174" s="2" t="s">
        <v>315</v>
      </c>
      <c r="W174" s="2" t="s">
        <v>316</v>
      </c>
      <c r="X174" s="2" t="s">
        <v>320</v>
      </c>
      <c r="Y174" s="2" t="s">
        <v>316</v>
      </c>
      <c r="Z174" s="2" t="s">
        <v>314</v>
      </c>
      <c r="AA174" s="2" t="s">
        <v>1095</v>
      </c>
      <c r="AB174" s="2" t="s">
        <v>325</v>
      </c>
      <c r="AC174" s="2" t="s">
        <v>1102</v>
      </c>
      <c r="AD174" s="2" t="s">
        <v>1105</v>
      </c>
    </row>
    <row r="175" spans="1:30" hidden="1" x14ac:dyDescent="0.3">
      <c r="A175" s="1">
        <v>45665.380266203712</v>
      </c>
      <c r="B175" s="2" t="s">
        <v>79</v>
      </c>
      <c r="C175" s="2" t="s">
        <v>195</v>
      </c>
      <c r="D175" s="2">
        <v>45</v>
      </c>
      <c r="E175" s="2" t="s">
        <v>231</v>
      </c>
      <c r="F175" s="2" t="s">
        <v>236</v>
      </c>
      <c r="G175" s="2" t="s">
        <v>240</v>
      </c>
      <c r="H175" s="2" t="s">
        <v>246</v>
      </c>
      <c r="I175" s="2">
        <v>28</v>
      </c>
      <c r="J175" s="2" t="s">
        <v>251</v>
      </c>
      <c r="K175" s="2" t="s">
        <v>309</v>
      </c>
      <c r="L175" s="2">
        <v>17</v>
      </c>
      <c r="M175" s="2" t="s">
        <v>249</v>
      </c>
      <c r="N175" s="2">
        <v>2</v>
      </c>
      <c r="O175" s="2" t="s">
        <v>313</v>
      </c>
      <c r="P175" s="2" t="s">
        <v>311</v>
      </c>
      <c r="Q175" s="2" t="s">
        <v>314</v>
      </c>
      <c r="R175" s="2" t="s">
        <v>311</v>
      </c>
      <c r="S175" s="2" t="s">
        <v>314</v>
      </c>
      <c r="T175" s="2" t="s">
        <v>311</v>
      </c>
      <c r="U175" s="2" t="s">
        <v>314</v>
      </c>
      <c r="V175" s="2" t="s">
        <v>315</v>
      </c>
      <c r="W175" s="2" t="s">
        <v>316</v>
      </c>
      <c r="X175" s="2" t="s">
        <v>320</v>
      </c>
      <c r="Y175" s="2" t="s">
        <v>316</v>
      </c>
      <c r="Z175" s="2" t="s">
        <v>314</v>
      </c>
      <c r="AA175" s="2" t="s">
        <v>322</v>
      </c>
      <c r="AB175" s="2" t="s">
        <v>324</v>
      </c>
      <c r="AC175" s="2" t="s">
        <v>375</v>
      </c>
      <c r="AD175" s="2" t="s">
        <v>475</v>
      </c>
    </row>
    <row r="176" spans="1:30" x14ac:dyDescent="0.3">
      <c r="A176" s="2" t="s">
        <v>30</v>
      </c>
      <c r="B176" s="2" t="s">
        <v>591</v>
      </c>
      <c r="C176" s="2" t="s">
        <v>203</v>
      </c>
      <c r="D176" s="2">
        <v>50</v>
      </c>
      <c r="E176" s="2" t="s">
        <v>232</v>
      </c>
      <c r="F176" s="2" t="s">
        <v>233</v>
      </c>
      <c r="G176" s="2" t="s">
        <v>239</v>
      </c>
      <c r="H176" s="2" t="s">
        <v>244</v>
      </c>
      <c r="I176" s="2">
        <v>26</v>
      </c>
      <c r="J176" s="2" t="s">
        <v>1003</v>
      </c>
      <c r="K176" s="2" t="s">
        <v>308</v>
      </c>
      <c r="L176" s="2">
        <v>0</v>
      </c>
      <c r="M176" s="2" t="s">
        <v>249</v>
      </c>
      <c r="N176" s="2">
        <v>0</v>
      </c>
      <c r="O176" s="2" t="s">
        <v>313</v>
      </c>
      <c r="P176" s="2" t="s">
        <v>311</v>
      </c>
      <c r="Q176" s="2" t="s">
        <v>312</v>
      </c>
      <c r="R176" s="2" t="s">
        <v>314</v>
      </c>
      <c r="S176" s="2" t="s">
        <v>311</v>
      </c>
      <c r="T176" s="2" t="s">
        <v>311</v>
      </c>
      <c r="U176" s="2" t="s">
        <v>311</v>
      </c>
      <c r="V176" s="2" t="s">
        <v>315</v>
      </c>
      <c r="W176" s="2" t="s">
        <v>316</v>
      </c>
      <c r="X176" s="2" t="s">
        <v>320</v>
      </c>
      <c r="Y176" s="2" t="s">
        <v>315</v>
      </c>
      <c r="Z176" s="2" t="s">
        <v>314</v>
      </c>
      <c r="AA176" s="2" t="s">
        <v>316</v>
      </c>
      <c r="AB176" s="2" t="s">
        <v>323</v>
      </c>
      <c r="AC176" s="2" t="s">
        <v>1097</v>
      </c>
      <c r="AD176" s="2" t="s">
        <v>1105</v>
      </c>
    </row>
    <row r="177" spans="1:30" hidden="1" x14ac:dyDescent="0.3">
      <c r="A177" s="1">
        <v>45767.709039351852</v>
      </c>
      <c r="B177" s="2" t="s">
        <v>110</v>
      </c>
      <c r="C177" s="2" t="s">
        <v>699</v>
      </c>
      <c r="D177" s="2">
        <v>51</v>
      </c>
      <c r="E177" s="2" t="s">
        <v>231</v>
      </c>
      <c r="F177" s="2" t="s">
        <v>234</v>
      </c>
      <c r="G177" s="2" t="s">
        <v>243</v>
      </c>
      <c r="H177" s="2" t="s">
        <v>246</v>
      </c>
      <c r="I177" s="2">
        <v>27</v>
      </c>
      <c r="J177" s="2" t="s">
        <v>282</v>
      </c>
      <c r="K177" s="2" t="s">
        <v>309</v>
      </c>
      <c r="L177" s="2">
        <v>12</v>
      </c>
      <c r="M177" s="2" t="s">
        <v>241</v>
      </c>
      <c r="N177" s="2">
        <v>2</v>
      </c>
      <c r="O177" s="2" t="s">
        <v>313</v>
      </c>
      <c r="P177" s="2" t="s">
        <v>311</v>
      </c>
      <c r="Q177" s="2" t="s">
        <v>312</v>
      </c>
      <c r="R177" s="2" t="s">
        <v>314</v>
      </c>
      <c r="S177" s="2" t="s">
        <v>312</v>
      </c>
      <c r="T177" s="2" t="s">
        <v>312</v>
      </c>
      <c r="U177" s="2" t="s">
        <v>311</v>
      </c>
      <c r="V177" s="2" t="s">
        <v>315</v>
      </c>
      <c r="W177" s="2" t="s">
        <v>316</v>
      </c>
      <c r="X177" s="2" t="s">
        <v>320</v>
      </c>
      <c r="Y177" s="2" t="s">
        <v>316</v>
      </c>
      <c r="Z177" s="2" t="s">
        <v>314</v>
      </c>
      <c r="AA177" s="2" t="s">
        <v>321</v>
      </c>
      <c r="AB177" s="2" t="s">
        <v>325</v>
      </c>
      <c r="AC177" s="2" t="s">
        <v>406</v>
      </c>
      <c r="AD177" s="2" t="s">
        <v>506</v>
      </c>
    </row>
    <row r="178" spans="1:30" x14ac:dyDescent="0.3">
      <c r="A178" s="2" t="s">
        <v>30</v>
      </c>
      <c r="B178" s="2" t="s">
        <v>570</v>
      </c>
      <c r="C178" s="2" t="s">
        <v>727</v>
      </c>
      <c r="D178" s="2">
        <v>52</v>
      </c>
      <c r="E178" s="2" t="s">
        <v>232</v>
      </c>
      <c r="F178" s="2" t="s">
        <v>234</v>
      </c>
      <c r="G178" s="2" t="s">
        <v>243</v>
      </c>
      <c r="H178" s="2" t="s">
        <v>246</v>
      </c>
      <c r="I178" s="2">
        <v>25</v>
      </c>
      <c r="J178" s="2" t="s">
        <v>982</v>
      </c>
      <c r="K178" s="2" t="s">
        <v>309</v>
      </c>
      <c r="L178" s="2">
        <v>12</v>
      </c>
      <c r="M178" s="2" t="s">
        <v>251</v>
      </c>
      <c r="N178" s="2">
        <v>3</v>
      </c>
      <c r="O178" s="2" t="s">
        <v>312</v>
      </c>
      <c r="P178" s="2" t="s">
        <v>311</v>
      </c>
      <c r="Q178" s="2" t="s">
        <v>312</v>
      </c>
      <c r="R178" s="2" t="s">
        <v>312</v>
      </c>
      <c r="S178" s="2" t="s">
        <v>313</v>
      </c>
      <c r="T178" s="2" t="s">
        <v>312</v>
      </c>
      <c r="U178" s="2" t="s">
        <v>312</v>
      </c>
      <c r="V178" s="2" t="s">
        <v>315</v>
      </c>
      <c r="W178" s="2" t="s">
        <v>316</v>
      </c>
      <c r="X178" s="2" t="s">
        <v>319</v>
      </c>
      <c r="Y178" s="2" t="s">
        <v>316</v>
      </c>
      <c r="Z178" s="2" t="s">
        <v>314</v>
      </c>
      <c r="AA178" s="2" t="s">
        <v>321</v>
      </c>
      <c r="AB178" s="2" t="s">
        <v>324</v>
      </c>
      <c r="AC178" s="2" t="s">
        <v>1102</v>
      </c>
      <c r="AD178" s="2" t="s">
        <v>1105</v>
      </c>
    </row>
    <row r="179" spans="1:30" x14ac:dyDescent="0.3">
      <c r="A179" s="2" t="s">
        <v>30</v>
      </c>
      <c r="B179" s="2" t="s">
        <v>537</v>
      </c>
      <c r="C179" s="2" t="s">
        <v>702</v>
      </c>
      <c r="D179" s="2">
        <v>53</v>
      </c>
      <c r="E179" s="2" t="s">
        <v>232</v>
      </c>
      <c r="F179" s="2" t="s">
        <v>234</v>
      </c>
      <c r="G179" s="2" t="s">
        <v>243</v>
      </c>
      <c r="H179" s="2" t="s">
        <v>246</v>
      </c>
      <c r="I179" s="2">
        <v>25</v>
      </c>
      <c r="J179" s="2" t="s">
        <v>256</v>
      </c>
      <c r="K179" s="2" t="s">
        <v>310</v>
      </c>
      <c r="L179" s="2">
        <v>3</v>
      </c>
      <c r="M179" s="2" t="s">
        <v>255</v>
      </c>
      <c r="N179" s="2">
        <v>0</v>
      </c>
      <c r="O179" s="2" t="s">
        <v>314</v>
      </c>
      <c r="P179" s="2" t="s">
        <v>312</v>
      </c>
      <c r="Q179" s="2" t="s">
        <v>314</v>
      </c>
      <c r="R179" s="2" t="s">
        <v>311</v>
      </c>
      <c r="S179" s="2" t="s">
        <v>313</v>
      </c>
      <c r="T179" s="2" t="s">
        <v>313</v>
      </c>
      <c r="U179" s="2" t="s">
        <v>313</v>
      </c>
      <c r="V179" s="2" t="s">
        <v>315</v>
      </c>
      <c r="W179" s="2" t="s">
        <v>316</v>
      </c>
      <c r="X179" s="2" t="s">
        <v>318</v>
      </c>
      <c r="Y179" s="2" t="s">
        <v>316</v>
      </c>
      <c r="Z179" s="2" t="s">
        <v>314</v>
      </c>
      <c r="AA179" s="2" t="s">
        <v>315</v>
      </c>
      <c r="AB179" s="2" t="s">
        <v>325</v>
      </c>
      <c r="AC179" s="2" t="s">
        <v>1100</v>
      </c>
      <c r="AD179" s="2" t="s">
        <v>1105</v>
      </c>
    </row>
    <row r="180" spans="1:30" x14ac:dyDescent="0.3">
      <c r="A180" s="1">
        <v>45800.070543981477</v>
      </c>
      <c r="B180" s="2" t="s">
        <v>86</v>
      </c>
      <c r="C180" s="2" t="s">
        <v>934</v>
      </c>
      <c r="D180" s="2">
        <v>54</v>
      </c>
      <c r="E180" s="2" t="s">
        <v>232</v>
      </c>
      <c r="F180" s="2" t="s">
        <v>235</v>
      </c>
      <c r="G180" s="2" t="s">
        <v>241</v>
      </c>
      <c r="H180" s="2" t="s">
        <v>246</v>
      </c>
      <c r="I180" s="2">
        <v>27</v>
      </c>
      <c r="J180" s="2" t="s">
        <v>255</v>
      </c>
      <c r="K180" s="2" t="s">
        <v>308</v>
      </c>
      <c r="L180" s="2">
        <v>19</v>
      </c>
      <c r="M180" s="2" t="s">
        <v>251</v>
      </c>
      <c r="N180" s="2">
        <v>1</v>
      </c>
      <c r="O180" s="2" t="s">
        <v>311</v>
      </c>
      <c r="P180" s="2" t="s">
        <v>314</v>
      </c>
      <c r="Q180" s="2" t="s">
        <v>313</v>
      </c>
      <c r="R180" s="2" t="s">
        <v>311</v>
      </c>
      <c r="S180" s="2" t="s">
        <v>311</v>
      </c>
      <c r="T180" s="2" t="s">
        <v>313</v>
      </c>
      <c r="U180" s="2" t="s">
        <v>311</v>
      </c>
      <c r="V180" s="2" t="s">
        <v>315</v>
      </c>
      <c r="W180" s="2" t="s">
        <v>316</v>
      </c>
      <c r="X180" s="2" t="s">
        <v>320</v>
      </c>
      <c r="Y180" s="2" t="s">
        <v>315</v>
      </c>
      <c r="Z180" s="2" t="s">
        <v>314</v>
      </c>
      <c r="AA180" s="2" t="s">
        <v>321</v>
      </c>
      <c r="AB180" s="2" t="s">
        <v>325</v>
      </c>
      <c r="AC180" s="2" t="s">
        <v>382</v>
      </c>
      <c r="AD180" s="2" t="s">
        <v>482</v>
      </c>
    </row>
    <row r="181" spans="1:30" hidden="1" x14ac:dyDescent="0.3">
      <c r="A181" s="1">
        <v>45803.774305555547</v>
      </c>
      <c r="B181" s="2" t="s">
        <v>42</v>
      </c>
      <c r="C181" s="2" t="s">
        <v>148</v>
      </c>
      <c r="D181" s="2">
        <v>59</v>
      </c>
      <c r="E181" s="2" t="s">
        <v>231</v>
      </c>
      <c r="F181" s="2" t="s">
        <v>233</v>
      </c>
      <c r="G181" s="2" t="s">
        <v>241</v>
      </c>
      <c r="H181" s="2" t="s">
        <v>246</v>
      </c>
      <c r="I181" s="2">
        <v>34</v>
      </c>
      <c r="J181" s="2" t="s">
        <v>249</v>
      </c>
      <c r="K181" s="2" t="s">
        <v>310</v>
      </c>
      <c r="L181" s="2">
        <v>9</v>
      </c>
      <c r="M181" s="2" t="s">
        <v>249</v>
      </c>
      <c r="N181" s="2">
        <v>3</v>
      </c>
      <c r="O181" s="2" t="s">
        <v>312</v>
      </c>
      <c r="P181" s="2" t="s">
        <v>313</v>
      </c>
      <c r="Q181" s="2" t="s">
        <v>311</v>
      </c>
      <c r="R181" s="2" t="s">
        <v>311</v>
      </c>
      <c r="S181" s="2" t="s">
        <v>312</v>
      </c>
      <c r="T181" s="2" t="s">
        <v>313</v>
      </c>
      <c r="U181" s="2" t="s">
        <v>313</v>
      </c>
      <c r="V181" s="2" t="s">
        <v>315</v>
      </c>
      <c r="W181" s="2" t="s">
        <v>316</v>
      </c>
      <c r="X181" s="2" t="s">
        <v>318</v>
      </c>
      <c r="Y181" s="2" t="s">
        <v>316</v>
      </c>
      <c r="Z181" s="2" t="s">
        <v>314</v>
      </c>
      <c r="AA181" s="2" t="s">
        <v>322</v>
      </c>
      <c r="AB181" s="2" t="s">
        <v>324</v>
      </c>
      <c r="AC181" s="2" t="s">
        <v>338</v>
      </c>
      <c r="AD181" s="2" t="s">
        <v>438</v>
      </c>
    </row>
    <row r="182" spans="1:30" x14ac:dyDescent="0.3">
      <c r="A182" s="1">
        <v>45804.202314814807</v>
      </c>
      <c r="B182" s="2" t="s">
        <v>103</v>
      </c>
      <c r="C182" s="2" t="s">
        <v>912</v>
      </c>
      <c r="D182" s="2">
        <v>60</v>
      </c>
      <c r="E182" s="2" t="s">
        <v>232</v>
      </c>
      <c r="F182" s="2" t="s">
        <v>234</v>
      </c>
      <c r="G182" s="2" t="s">
        <v>239</v>
      </c>
      <c r="H182" s="2" t="s">
        <v>245</v>
      </c>
      <c r="I182" s="2">
        <v>14</v>
      </c>
      <c r="J182" s="2" t="s">
        <v>296</v>
      </c>
      <c r="K182" s="2" t="s">
        <v>309</v>
      </c>
      <c r="L182" s="2">
        <v>11</v>
      </c>
      <c r="M182" s="2" t="s">
        <v>275</v>
      </c>
      <c r="N182" s="2">
        <v>1</v>
      </c>
      <c r="O182" s="2" t="s">
        <v>313</v>
      </c>
      <c r="P182" s="2" t="s">
        <v>311</v>
      </c>
      <c r="Q182" s="2" t="s">
        <v>314</v>
      </c>
      <c r="R182" s="2" t="s">
        <v>314</v>
      </c>
      <c r="S182" s="2" t="s">
        <v>313</v>
      </c>
      <c r="T182" s="2" t="s">
        <v>312</v>
      </c>
      <c r="U182" s="2" t="s">
        <v>313</v>
      </c>
      <c r="V182" s="2" t="s">
        <v>315</v>
      </c>
      <c r="W182" s="2" t="s">
        <v>316</v>
      </c>
      <c r="X182" s="2" t="s">
        <v>319</v>
      </c>
      <c r="Y182" s="2" t="s">
        <v>316</v>
      </c>
      <c r="Z182" s="2" t="s">
        <v>314</v>
      </c>
      <c r="AA182" s="2" t="s">
        <v>316</v>
      </c>
      <c r="AB182" s="2" t="s">
        <v>326</v>
      </c>
      <c r="AC182" s="2" t="s">
        <v>399</v>
      </c>
      <c r="AD182" s="2" t="s">
        <v>499</v>
      </c>
    </row>
    <row r="183" spans="1:30" x14ac:dyDescent="0.3">
      <c r="A183" s="2" t="s">
        <v>30</v>
      </c>
      <c r="B183" s="2" t="s">
        <v>566</v>
      </c>
      <c r="C183" s="2" t="s">
        <v>909</v>
      </c>
      <c r="D183" s="2">
        <v>60</v>
      </c>
      <c r="E183" s="2" t="s">
        <v>232</v>
      </c>
      <c r="F183" s="2" t="s">
        <v>236</v>
      </c>
      <c r="G183" s="2" t="s">
        <v>239</v>
      </c>
      <c r="H183" s="2" t="s">
        <v>246</v>
      </c>
      <c r="I183" s="2">
        <v>15</v>
      </c>
      <c r="J183" s="2" t="s">
        <v>1000</v>
      </c>
      <c r="K183" s="2" t="s">
        <v>308</v>
      </c>
      <c r="L183" s="2">
        <v>8</v>
      </c>
      <c r="M183" s="2" t="s">
        <v>275</v>
      </c>
      <c r="N183" s="2">
        <v>3</v>
      </c>
      <c r="O183" s="2" t="s">
        <v>314</v>
      </c>
      <c r="P183" s="2" t="s">
        <v>314</v>
      </c>
      <c r="Q183" s="2" t="s">
        <v>313</v>
      </c>
      <c r="R183" s="2" t="s">
        <v>314</v>
      </c>
      <c r="S183" s="2" t="s">
        <v>313</v>
      </c>
      <c r="T183" s="2" t="s">
        <v>314</v>
      </c>
      <c r="U183" s="2" t="s">
        <v>314</v>
      </c>
      <c r="V183" s="2" t="s">
        <v>315</v>
      </c>
      <c r="W183" s="2" t="s">
        <v>316</v>
      </c>
      <c r="X183" s="2" t="s">
        <v>320</v>
      </c>
      <c r="Y183" s="2" t="s">
        <v>316</v>
      </c>
      <c r="Z183" s="2" t="s">
        <v>314</v>
      </c>
      <c r="AA183" s="2" t="s">
        <v>315</v>
      </c>
      <c r="AB183" s="2" t="s">
        <v>325</v>
      </c>
      <c r="AC183" s="2" t="s">
        <v>1098</v>
      </c>
      <c r="AD183" s="2" t="s">
        <v>1105</v>
      </c>
    </row>
    <row r="184" spans="1:30" hidden="1" x14ac:dyDescent="0.3">
      <c r="A184" s="1">
        <v>45719.440243055556</v>
      </c>
      <c r="B184" s="2" t="s">
        <v>119</v>
      </c>
      <c r="C184" s="2" t="s">
        <v>726</v>
      </c>
      <c r="D184" s="2">
        <v>27</v>
      </c>
      <c r="E184" s="2" t="s">
        <v>231</v>
      </c>
      <c r="F184" s="2" t="s">
        <v>234</v>
      </c>
      <c r="G184" s="2" t="s">
        <v>243</v>
      </c>
      <c r="H184" s="2" t="s">
        <v>246</v>
      </c>
      <c r="I184" s="2">
        <v>31</v>
      </c>
      <c r="J184" s="2" t="s">
        <v>301</v>
      </c>
      <c r="K184" s="2" t="s">
        <v>310</v>
      </c>
      <c r="L184" s="2">
        <v>8</v>
      </c>
      <c r="M184" s="2" t="s">
        <v>275</v>
      </c>
      <c r="N184" s="2">
        <v>3</v>
      </c>
      <c r="O184" s="2" t="s">
        <v>312</v>
      </c>
      <c r="P184" s="2" t="s">
        <v>313</v>
      </c>
      <c r="Q184" s="2" t="s">
        <v>311</v>
      </c>
      <c r="R184" s="2" t="s">
        <v>312</v>
      </c>
      <c r="S184" s="2" t="s">
        <v>312</v>
      </c>
      <c r="T184" s="2" t="s">
        <v>314</v>
      </c>
      <c r="U184" s="2" t="s">
        <v>311</v>
      </c>
      <c r="V184" s="2" t="s">
        <v>316</v>
      </c>
      <c r="W184" s="2" t="s">
        <v>315</v>
      </c>
      <c r="X184" s="2" t="s">
        <v>318</v>
      </c>
      <c r="Y184" s="2" t="s">
        <v>316</v>
      </c>
      <c r="Z184" s="2" t="s">
        <v>313</v>
      </c>
      <c r="AA184" s="2" t="s">
        <v>322</v>
      </c>
      <c r="AB184" s="2" t="s">
        <v>325</v>
      </c>
      <c r="AC184" s="2" t="s">
        <v>415</v>
      </c>
      <c r="AD184" s="2" t="s">
        <v>515</v>
      </c>
    </row>
    <row r="185" spans="1:30" hidden="1" x14ac:dyDescent="0.3">
      <c r="A185" s="2" t="s">
        <v>30</v>
      </c>
      <c r="B185" s="2" t="s">
        <v>582</v>
      </c>
      <c r="C185" s="2" t="s">
        <v>808</v>
      </c>
      <c r="D185" s="2">
        <v>27</v>
      </c>
      <c r="E185" s="2" t="s">
        <v>231</v>
      </c>
      <c r="F185" s="2" t="s">
        <v>233</v>
      </c>
      <c r="G185" s="2" t="s">
        <v>239</v>
      </c>
      <c r="H185" s="2" t="s">
        <v>246</v>
      </c>
      <c r="I185" s="2">
        <v>17</v>
      </c>
      <c r="J185" s="2" t="s">
        <v>1029</v>
      </c>
      <c r="K185" s="2" t="s">
        <v>309</v>
      </c>
      <c r="L185" s="2">
        <v>5</v>
      </c>
      <c r="M185" s="2" t="s">
        <v>249</v>
      </c>
      <c r="N185" s="2">
        <v>1</v>
      </c>
      <c r="O185" s="2" t="s">
        <v>312</v>
      </c>
      <c r="P185" s="2" t="s">
        <v>311</v>
      </c>
      <c r="Q185" s="2" t="s">
        <v>313</v>
      </c>
      <c r="R185" s="2" t="s">
        <v>312</v>
      </c>
      <c r="S185" s="2" t="s">
        <v>313</v>
      </c>
      <c r="T185" s="2" t="s">
        <v>312</v>
      </c>
      <c r="U185" s="2" t="s">
        <v>312</v>
      </c>
      <c r="V185" s="2" t="s">
        <v>316</v>
      </c>
      <c r="W185" s="2" t="s">
        <v>315</v>
      </c>
      <c r="X185" s="2" t="s">
        <v>318</v>
      </c>
      <c r="Y185" s="2" t="s">
        <v>315</v>
      </c>
      <c r="Z185" s="2" t="s">
        <v>313</v>
      </c>
      <c r="AA185" s="2" t="s">
        <v>316</v>
      </c>
      <c r="AB185" s="2" t="s">
        <v>326</v>
      </c>
      <c r="AC185" s="2" t="s">
        <v>1097</v>
      </c>
      <c r="AD185" s="2" t="s">
        <v>1105</v>
      </c>
    </row>
    <row r="186" spans="1:30" x14ac:dyDescent="0.3">
      <c r="A186" s="2" t="s">
        <v>30</v>
      </c>
      <c r="B186" s="2" t="s">
        <v>658</v>
      </c>
      <c r="C186" s="2" t="s">
        <v>714</v>
      </c>
      <c r="D186" s="2">
        <v>27</v>
      </c>
      <c r="E186" s="2" t="s">
        <v>232</v>
      </c>
      <c r="F186" s="2" t="s">
        <v>234</v>
      </c>
      <c r="G186" s="2" t="s">
        <v>238</v>
      </c>
      <c r="H186" s="2" t="s">
        <v>245</v>
      </c>
      <c r="I186" s="2">
        <v>15</v>
      </c>
      <c r="J186" s="2" t="s">
        <v>243</v>
      </c>
      <c r="K186" s="2" t="s">
        <v>309</v>
      </c>
      <c r="L186" s="2">
        <v>6</v>
      </c>
      <c r="M186" s="2" t="s">
        <v>249</v>
      </c>
      <c r="N186" s="2">
        <v>1</v>
      </c>
      <c r="O186" s="2" t="s">
        <v>312</v>
      </c>
      <c r="P186" s="2" t="s">
        <v>312</v>
      </c>
      <c r="Q186" s="2" t="s">
        <v>311</v>
      </c>
      <c r="R186" s="2" t="s">
        <v>311</v>
      </c>
      <c r="S186" s="2" t="s">
        <v>313</v>
      </c>
      <c r="T186" s="2" t="s">
        <v>313</v>
      </c>
      <c r="U186" s="2" t="s">
        <v>313</v>
      </c>
      <c r="V186" s="2" t="s">
        <v>316</v>
      </c>
      <c r="W186" s="2" t="s">
        <v>315</v>
      </c>
      <c r="X186" s="2" t="s">
        <v>318</v>
      </c>
      <c r="Y186" s="2" t="s">
        <v>315</v>
      </c>
      <c r="Z186" s="2" t="s">
        <v>313</v>
      </c>
      <c r="AA186" s="2" t="s">
        <v>315</v>
      </c>
      <c r="AB186" s="2" t="s">
        <v>325</v>
      </c>
      <c r="AC186" s="2" t="s">
        <v>1101</v>
      </c>
      <c r="AD186" s="2" t="s">
        <v>1105</v>
      </c>
    </row>
    <row r="187" spans="1:30" x14ac:dyDescent="0.3">
      <c r="A187" s="1">
        <v>45765.171157407407</v>
      </c>
      <c r="B187" s="2" t="s">
        <v>76</v>
      </c>
      <c r="C187" s="2" t="s">
        <v>1109</v>
      </c>
      <c r="D187" s="2">
        <v>28</v>
      </c>
      <c r="E187" s="2" t="s">
        <v>232</v>
      </c>
      <c r="F187" s="2" t="s">
        <v>237</v>
      </c>
      <c r="G187" s="2" t="s">
        <v>239</v>
      </c>
      <c r="H187" s="2" t="s">
        <v>245</v>
      </c>
      <c r="I187" s="2">
        <v>7</v>
      </c>
      <c r="J187" s="2" t="s">
        <v>278</v>
      </c>
      <c r="K187" s="2" t="s">
        <v>310</v>
      </c>
      <c r="L187" s="2">
        <v>15</v>
      </c>
      <c r="M187" s="2" t="s">
        <v>251</v>
      </c>
      <c r="N187" s="2">
        <v>3</v>
      </c>
      <c r="O187" s="2" t="s">
        <v>313</v>
      </c>
      <c r="P187" s="2" t="s">
        <v>313</v>
      </c>
      <c r="Q187" s="2" t="s">
        <v>311</v>
      </c>
      <c r="R187" s="2" t="s">
        <v>313</v>
      </c>
      <c r="S187" s="2" t="s">
        <v>312</v>
      </c>
      <c r="T187" s="2" t="s">
        <v>314</v>
      </c>
      <c r="U187" s="2" t="s">
        <v>311</v>
      </c>
      <c r="V187" s="2" t="s">
        <v>316</v>
      </c>
      <c r="W187" s="2" t="s">
        <v>315</v>
      </c>
      <c r="X187" s="2" t="s">
        <v>318</v>
      </c>
      <c r="Y187" s="2" t="s">
        <v>316</v>
      </c>
      <c r="Z187" s="2" t="s">
        <v>313</v>
      </c>
      <c r="AA187" s="2" t="s">
        <v>322</v>
      </c>
      <c r="AB187" s="2" t="s">
        <v>326</v>
      </c>
      <c r="AC187" s="2" t="s">
        <v>372</v>
      </c>
      <c r="AD187" s="2" t="s">
        <v>472</v>
      </c>
    </row>
    <row r="188" spans="1:30" x14ac:dyDescent="0.3">
      <c r="A188" s="2" t="s">
        <v>30</v>
      </c>
      <c r="B188" s="2" t="s">
        <v>573</v>
      </c>
      <c r="C188" s="2" t="s">
        <v>735</v>
      </c>
      <c r="D188" s="2">
        <v>28</v>
      </c>
      <c r="E188" s="2" t="s">
        <v>232</v>
      </c>
      <c r="F188" s="2" t="s">
        <v>237</v>
      </c>
      <c r="G188" s="2" t="s">
        <v>242</v>
      </c>
      <c r="H188" s="2" t="s">
        <v>246</v>
      </c>
      <c r="I188" s="2">
        <v>19</v>
      </c>
      <c r="J188" s="2" t="s">
        <v>241</v>
      </c>
      <c r="K188" s="2" t="s">
        <v>308</v>
      </c>
      <c r="L188" s="2">
        <v>9</v>
      </c>
      <c r="M188" s="2" t="s">
        <v>262</v>
      </c>
      <c r="N188" s="2">
        <v>2</v>
      </c>
      <c r="O188" s="2" t="s">
        <v>313</v>
      </c>
      <c r="P188" s="2" t="s">
        <v>314</v>
      </c>
      <c r="Q188" s="2" t="s">
        <v>314</v>
      </c>
      <c r="R188" s="2" t="s">
        <v>314</v>
      </c>
      <c r="S188" s="2" t="s">
        <v>311</v>
      </c>
      <c r="T188" s="2" t="s">
        <v>314</v>
      </c>
      <c r="U188" s="2" t="s">
        <v>314</v>
      </c>
      <c r="V188" s="2" t="s">
        <v>316</v>
      </c>
      <c r="W188" s="2" t="s">
        <v>315</v>
      </c>
      <c r="X188" s="2" t="s">
        <v>319</v>
      </c>
      <c r="Y188" s="2" t="s">
        <v>316</v>
      </c>
      <c r="Z188" s="2" t="s">
        <v>313</v>
      </c>
      <c r="AA188" s="2" t="s">
        <v>315</v>
      </c>
      <c r="AB188" s="2" t="s">
        <v>323</v>
      </c>
      <c r="AC188" s="2" t="s">
        <v>1101</v>
      </c>
      <c r="AD188" s="2" t="s">
        <v>1105</v>
      </c>
    </row>
    <row r="189" spans="1:30" hidden="1" x14ac:dyDescent="0.3">
      <c r="A189" s="2" t="s">
        <v>30</v>
      </c>
      <c r="B189" s="2" t="s">
        <v>541</v>
      </c>
      <c r="C189" s="2" t="s">
        <v>858</v>
      </c>
      <c r="D189" s="2">
        <v>30</v>
      </c>
      <c r="E189" s="2" t="s">
        <v>231</v>
      </c>
      <c r="F189" s="2" t="s">
        <v>233</v>
      </c>
      <c r="G189" s="2" t="s">
        <v>242</v>
      </c>
      <c r="H189" s="2" t="s">
        <v>245</v>
      </c>
      <c r="I189" s="2">
        <v>22</v>
      </c>
      <c r="J189" s="2" t="s">
        <v>1027</v>
      </c>
      <c r="K189" s="2" t="s">
        <v>310</v>
      </c>
      <c r="L189" s="2">
        <v>18</v>
      </c>
      <c r="M189" s="2" t="s">
        <v>251</v>
      </c>
      <c r="N189" s="2">
        <v>3</v>
      </c>
      <c r="O189" s="2" t="s">
        <v>314</v>
      </c>
      <c r="P189" s="2" t="s">
        <v>314</v>
      </c>
      <c r="Q189" s="2" t="s">
        <v>312</v>
      </c>
      <c r="R189" s="2" t="s">
        <v>314</v>
      </c>
      <c r="S189" s="2" t="s">
        <v>312</v>
      </c>
      <c r="T189" s="2" t="s">
        <v>312</v>
      </c>
      <c r="U189" s="2" t="s">
        <v>312</v>
      </c>
      <c r="V189" s="2" t="s">
        <v>316</v>
      </c>
      <c r="W189" s="2" t="s">
        <v>315</v>
      </c>
      <c r="X189" s="2" t="s">
        <v>320</v>
      </c>
      <c r="Y189" s="2" t="s">
        <v>315</v>
      </c>
      <c r="Z189" s="2" t="s">
        <v>313</v>
      </c>
      <c r="AA189" s="2" t="s">
        <v>315</v>
      </c>
      <c r="AB189" s="2" t="s">
        <v>325</v>
      </c>
      <c r="AC189" s="2" t="s">
        <v>1103</v>
      </c>
      <c r="AD189" s="2" t="s">
        <v>1105</v>
      </c>
    </row>
    <row r="190" spans="1:30" hidden="1" x14ac:dyDescent="0.3">
      <c r="A190" s="2" t="s">
        <v>30</v>
      </c>
      <c r="B190" s="2" t="s">
        <v>615</v>
      </c>
      <c r="C190" s="2" t="s">
        <v>781</v>
      </c>
      <c r="D190" s="2">
        <v>30</v>
      </c>
      <c r="E190" s="2" t="s">
        <v>231</v>
      </c>
      <c r="F190" s="2" t="s">
        <v>234</v>
      </c>
      <c r="G190" s="2" t="s">
        <v>243</v>
      </c>
      <c r="H190" s="2" t="s">
        <v>244</v>
      </c>
      <c r="I190" s="2">
        <v>1</v>
      </c>
      <c r="J190" s="2" t="s">
        <v>1057</v>
      </c>
      <c r="K190" s="2" t="s">
        <v>309</v>
      </c>
      <c r="L190" s="2">
        <v>17</v>
      </c>
      <c r="M190" s="2" t="s">
        <v>241</v>
      </c>
      <c r="N190" s="2">
        <v>1</v>
      </c>
      <c r="O190" s="2" t="s">
        <v>312</v>
      </c>
      <c r="P190" s="2" t="s">
        <v>311</v>
      </c>
      <c r="Q190" s="2" t="s">
        <v>314</v>
      </c>
      <c r="R190" s="2" t="s">
        <v>314</v>
      </c>
      <c r="S190" s="2" t="s">
        <v>314</v>
      </c>
      <c r="T190" s="2" t="s">
        <v>312</v>
      </c>
      <c r="U190" s="2" t="s">
        <v>312</v>
      </c>
      <c r="V190" s="2" t="s">
        <v>316</v>
      </c>
      <c r="W190" s="2" t="s">
        <v>315</v>
      </c>
      <c r="X190" s="2" t="s">
        <v>318</v>
      </c>
      <c r="Y190" s="2" t="s">
        <v>316</v>
      </c>
      <c r="Z190" s="2" t="s">
        <v>313</v>
      </c>
      <c r="AA190" s="2" t="s">
        <v>321</v>
      </c>
      <c r="AB190" s="2" t="s">
        <v>323</v>
      </c>
      <c r="AC190" s="2" t="s">
        <v>1101</v>
      </c>
      <c r="AD190" s="2" t="s">
        <v>1105</v>
      </c>
    </row>
    <row r="191" spans="1:30" hidden="1" x14ac:dyDescent="0.3">
      <c r="A191" s="1">
        <v>45730.793240740742</v>
      </c>
      <c r="B191" s="2" t="s">
        <v>38</v>
      </c>
      <c r="C191" s="2" t="s">
        <v>154</v>
      </c>
      <c r="D191" s="2">
        <v>31</v>
      </c>
      <c r="E191" s="2" t="s">
        <v>231</v>
      </c>
      <c r="F191" s="2" t="s">
        <v>235</v>
      </c>
      <c r="G191" s="2" t="s">
        <v>239</v>
      </c>
      <c r="H191" s="2" t="s">
        <v>245</v>
      </c>
      <c r="I191" s="2">
        <v>27</v>
      </c>
      <c r="J191" s="2" t="s">
        <v>253</v>
      </c>
      <c r="K191" s="2" t="s">
        <v>308</v>
      </c>
      <c r="L191" s="2">
        <v>20</v>
      </c>
      <c r="M191" s="2" t="s">
        <v>249</v>
      </c>
      <c r="N191" s="2">
        <v>3</v>
      </c>
      <c r="O191" s="2" t="s">
        <v>311</v>
      </c>
      <c r="P191" s="2" t="s">
        <v>314</v>
      </c>
      <c r="Q191" s="2" t="s">
        <v>313</v>
      </c>
      <c r="R191" s="2" t="s">
        <v>311</v>
      </c>
      <c r="S191" s="2" t="s">
        <v>312</v>
      </c>
      <c r="T191" s="2" t="s">
        <v>312</v>
      </c>
      <c r="U191" s="2" t="s">
        <v>312</v>
      </c>
      <c r="V191" s="2" t="s">
        <v>316</v>
      </c>
      <c r="W191" s="2" t="s">
        <v>315</v>
      </c>
      <c r="X191" s="2" t="s">
        <v>320</v>
      </c>
      <c r="Y191" s="2" t="s">
        <v>315</v>
      </c>
      <c r="Z191" s="2" t="s">
        <v>313</v>
      </c>
      <c r="AA191" s="2" t="s">
        <v>322</v>
      </c>
      <c r="AB191" s="2" t="s">
        <v>325</v>
      </c>
      <c r="AC191" s="2" t="s">
        <v>334</v>
      </c>
      <c r="AD191" s="2" t="s">
        <v>434</v>
      </c>
    </row>
    <row r="192" spans="1:30" hidden="1" x14ac:dyDescent="0.3">
      <c r="A192" s="2" t="s">
        <v>30</v>
      </c>
      <c r="B192" s="2" t="s">
        <v>643</v>
      </c>
      <c r="C192" s="2" t="s">
        <v>1111</v>
      </c>
      <c r="D192" s="2">
        <v>32</v>
      </c>
      <c r="E192" s="2" t="s">
        <v>231</v>
      </c>
      <c r="F192" s="2" t="s">
        <v>235</v>
      </c>
      <c r="G192" s="2" t="s">
        <v>239</v>
      </c>
      <c r="H192" s="2" t="s">
        <v>245</v>
      </c>
      <c r="I192" s="2">
        <v>23</v>
      </c>
      <c r="J192" s="2" t="s">
        <v>1056</v>
      </c>
      <c r="K192" s="2" t="s">
        <v>309</v>
      </c>
      <c r="L192" s="2">
        <v>17</v>
      </c>
      <c r="M192" s="2" t="s">
        <v>255</v>
      </c>
      <c r="N192" s="2">
        <v>2</v>
      </c>
      <c r="O192" s="2" t="s">
        <v>313</v>
      </c>
      <c r="P192" s="2" t="s">
        <v>313</v>
      </c>
      <c r="Q192" s="2" t="s">
        <v>313</v>
      </c>
      <c r="R192" s="2" t="s">
        <v>311</v>
      </c>
      <c r="S192" s="2" t="s">
        <v>312</v>
      </c>
      <c r="T192" s="2" t="s">
        <v>312</v>
      </c>
      <c r="U192" s="2" t="s">
        <v>312</v>
      </c>
      <c r="V192" s="2" t="s">
        <v>316</v>
      </c>
      <c r="W192" s="2" t="s">
        <v>315</v>
      </c>
      <c r="X192" s="2" t="s">
        <v>317</v>
      </c>
      <c r="Y192" s="2" t="s">
        <v>315</v>
      </c>
      <c r="Z192" s="2" t="s">
        <v>313</v>
      </c>
      <c r="AA192" s="2" t="s">
        <v>321</v>
      </c>
      <c r="AB192" s="2" t="s">
        <v>323</v>
      </c>
      <c r="AC192" s="2" t="s">
        <v>1097</v>
      </c>
      <c r="AD192" s="2" t="s">
        <v>1105</v>
      </c>
    </row>
    <row r="193" spans="1:30" x14ac:dyDescent="0.3">
      <c r="A193" s="2" t="s">
        <v>30</v>
      </c>
      <c r="B193" s="2" t="s">
        <v>634</v>
      </c>
      <c r="C193" s="2" t="s">
        <v>933</v>
      </c>
      <c r="D193" s="2">
        <v>33</v>
      </c>
      <c r="E193" s="2" t="s">
        <v>232</v>
      </c>
      <c r="F193" s="2" t="s">
        <v>237</v>
      </c>
      <c r="G193" s="2" t="s">
        <v>243</v>
      </c>
      <c r="H193" s="2" t="s">
        <v>245</v>
      </c>
      <c r="I193" s="2">
        <v>22</v>
      </c>
      <c r="J193" s="2" t="s">
        <v>292</v>
      </c>
      <c r="K193" s="2" t="s">
        <v>310</v>
      </c>
      <c r="L193" s="2">
        <v>19</v>
      </c>
      <c r="M193" s="2" t="s">
        <v>255</v>
      </c>
      <c r="N193" s="2">
        <v>3</v>
      </c>
      <c r="O193" s="2" t="s">
        <v>312</v>
      </c>
      <c r="P193" s="2" t="s">
        <v>314</v>
      </c>
      <c r="Q193" s="2" t="s">
        <v>313</v>
      </c>
      <c r="R193" s="2" t="s">
        <v>314</v>
      </c>
      <c r="S193" s="2" t="s">
        <v>311</v>
      </c>
      <c r="T193" s="2" t="s">
        <v>313</v>
      </c>
      <c r="U193" s="2" t="s">
        <v>313</v>
      </c>
      <c r="V193" s="2" t="s">
        <v>316</v>
      </c>
      <c r="W193" s="2" t="s">
        <v>315</v>
      </c>
      <c r="X193" s="2" t="s">
        <v>317</v>
      </c>
      <c r="Y193" s="2" t="s">
        <v>316</v>
      </c>
      <c r="Z193" s="2" t="s">
        <v>313</v>
      </c>
      <c r="AA193" s="2" t="s">
        <v>321</v>
      </c>
      <c r="AB193" s="2" t="s">
        <v>323</v>
      </c>
      <c r="AC193" s="2" t="s">
        <v>1096</v>
      </c>
      <c r="AD193" s="2" t="s">
        <v>1105</v>
      </c>
    </row>
    <row r="194" spans="1:30" hidden="1" x14ac:dyDescent="0.3">
      <c r="A194" s="2" t="s">
        <v>30</v>
      </c>
      <c r="B194" s="2" t="s">
        <v>531</v>
      </c>
      <c r="C194" s="2" t="s">
        <v>930</v>
      </c>
      <c r="D194" s="2">
        <v>36</v>
      </c>
      <c r="E194" s="2" t="s">
        <v>231</v>
      </c>
      <c r="F194" s="2" t="s">
        <v>237</v>
      </c>
      <c r="G194" s="2" t="s">
        <v>240</v>
      </c>
      <c r="H194" s="2" t="s">
        <v>245</v>
      </c>
      <c r="I194" s="2">
        <v>14</v>
      </c>
      <c r="J194" s="2" t="s">
        <v>243</v>
      </c>
      <c r="K194" s="2" t="s">
        <v>310</v>
      </c>
      <c r="L194" s="2">
        <v>3</v>
      </c>
      <c r="M194" s="2" t="s">
        <v>249</v>
      </c>
      <c r="N194" s="2">
        <v>2</v>
      </c>
      <c r="O194" s="2" t="s">
        <v>313</v>
      </c>
      <c r="P194" s="2" t="s">
        <v>314</v>
      </c>
      <c r="Q194" s="2" t="s">
        <v>311</v>
      </c>
      <c r="R194" s="2" t="s">
        <v>313</v>
      </c>
      <c r="S194" s="2" t="s">
        <v>312</v>
      </c>
      <c r="T194" s="2" t="s">
        <v>314</v>
      </c>
      <c r="U194" s="2" t="s">
        <v>314</v>
      </c>
      <c r="V194" s="2" t="s">
        <v>316</v>
      </c>
      <c r="W194" s="2" t="s">
        <v>315</v>
      </c>
      <c r="X194" s="2" t="s">
        <v>317</v>
      </c>
      <c r="Y194" s="2" t="s">
        <v>316</v>
      </c>
      <c r="Z194" s="2" t="s">
        <v>313</v>
      </c>
      <c r="AA194" s="2" t="s">
        <v>316</v>
      </c>
      <c r="AB194" s="2" t="s">
        <v>324</v>
      </c>
      <c r="AC194" s="2" t="s">
        <v>1097</v>
      </c>
      <c r="AD194" s="2" t="s">
        <v>1105</v>
      </c>
    </row>
    <row r="195" spans="1:30" hidden="1" x14ac:dyDescent="0.3">
      <c r="A195" s="2" t="s">
        <v>30</v>
      </c>
      <c r="B195" s="2" t="s">
        <v>580</v>
      </c>
      <c r="C195" s="2" t="s">
        <v>188</v>
      </c>
      <c r="D195" s="2">
        <v>37</v>
      </c>
      <c r="E195" s="2" t="s">
        <v>231</v>
      </c>
      <c r="F195" s="2" t="s">
        <v>237</v>
      </c>
      <c r="G195" s="2" t="s">
        <v>242</v>
      </c>
      <c r="H195" s="2" t="s">
        <v>245</v>
      </c>
      <c r="I195" s="2">
        <v>22</v>
      </c>
      <c r="J195" s="2" t="s">
        <v>275</v>
      </c>
      <c r="K195" s="2" t="s">
        <v>310</v>
      </c>
      <c r="L195" s="2">
        <v>17</v>
      </c>
      <c r="M195" s="2" t="s">
        <v>243</v>
      </c>
      <c r="N195" s="2">
        <v>0</v>
      </c>
      <c r="O195" s="2" t="s">
        <v>313</v>
      </c>
      <c r="P195" s="2" t="s">
        <v>311</v>
      </c>
      <c r="Q195" s="2" t="s">
        <v>314</v>
      </c>
      <c r="R195" s="2" t="s">
        <v>314</v>
      </c>
      <c r="S195" s="2" t="s">
        <v>313</v>
      </c>
      <c r="T195" s="2" t="s">
        <v>312</v>
      </c>
      <c r="U195" s="2" t="s">
        <v>312</v>
      </c>
      <c r="V195" s="2" t="s">
        <v>316</v>
      </c>
      <c r="W195" s="2" t="s">
        <v>315</v>
      </c>
      <c r="X195" s="2" t="s">
        <v>317</v>
      </c>
      <c r="Y195" s="2" t="s">
        <v>316</v>
      </c>
      <c r="Z195" s="2" t="s">
        <v>313</v>
      </c>
      <c r="AA195" s="2" t="s">
        <v>316</v>
      </c>
      <c r="AB195" s="2" t="s">
        <v>324</v>
      </c>
      <c r="AC195" s="2" t="s">
        <v>1103</v>
      </c>
      <c r="AD195" s="2" t="s">
        <v>1105</v>
      </c>
    </row>
    <row r="196" spans="1:30" hidden="1" x14ac:dyDescent="0.3">
      <c r="A196" s="2" t="s">
        <v>30</v>
      </c>
      <c r="B196" s="2" t="s">
        <v>578</v>
      </c>
      <c r="C196" s="2" t="s">
        <v>939</v>
      </c>
      <c r="D196" s="2">
        <v>38</v>
      </c>
      <c r="E196" s="2" t="s">
        <v>231</v>
      </c>
      <c r="F196" s="2" t="s">
        <v>237</v>
      </c>
      <c r="G196" s="2" t="s">
        <v>238</v>
      </c>
      <c r="H196" s="2" t="s">
        <v>246</v>
      </c>
      <c r="I196" s="2">
        <v>9</v>
      </c>
      <c r="J196" s="2" t="s">
        <v>1069</v>
      </c>
      <c r="K196" s="2" t="s">
        <v>309</v>
      </c>
      <c r="L196" s="2">
        <v>17</v>
      </c>
      <c r="M196" s="2" t="s">
        <v>249</v>
      </c>
      <c r="N196" s="2">
        <v>2</v>
      </c>
      <c r="O196" s="2" t="s">
        <v>313</v>
      </c>
      <c r="P196" s="2" t="s">
        <v>314</v>
      </c>
      <c r="Q196" s="2" t="s">
        <v>314</v>
      </c>
      <c r="R196" s="2" t="s">
        <v>312</v>
      </c>
      <c r="S196" s="2" t="s">
        <v>312</v>
      </c>
      <c r="T196" s="2" t="s">
        <v>314</v>
      </c>
      <c r="U196" s="2" t="s">
        <v>314</v>
      </c>
      <c r="V196" s="2" t="s">
        <v>316</v>
      </c>
      <c r="W196" s="2" t="s">
        <v>315</v>
      </c>
      <c r="X196" s="2" t="s">
        <v>318</v>
      </c>
      <c r="Y196" s="2" t="s">
        <v>315</v>
      </c>
      <c r="Z196" s="2" t="s">
        <v>313</v>
      </c>
      <c r="AA196" s="2" t="s">
        <v>316</v>
      </c>
      <c r="AB196" s="2" t="s">
        <v>323</v>
      </c>
      <c r="AC196" s="2" t="s">
        <v>1099</v>
      </c>
      <c r="AD196" s="2" t="s">
        <v>1105</v>
      </c>
    </row>
    <row r="197" spans="1:30" x14ac:dyDescent="0.3">
      <c r="A197" s="2" t="s">
        <v>30</v>
      </c>
      <c r="B197" s="2" t="s">
        <v>558</v>
      </c>
      <c r="C197" s="2" t="s">
        <v>670</v>
      </c>
      <c r="D197" s="2">
        <v>40</v>
      </c>
      <c r="E197" s="2" t="s">
        <v>232</v>
      </c>
      <c r="F197" s="2" t="s">
        <v>236</v>
      </c>
      <c r="G197" s="2" t="s">
        <v>242</v>
      </c>
      <c r="H197" s="2" t="s">
        <v>246</v>
      </c>
      <c r="I197" s="2">
        <v>9</v>
      </c>
      <c r="J197" s="2" t="s">
        <v>258</v>
      </c>
      <c r="K197" s="2" t="s">
        <v>309</v>
      </c>
      <c r="L197" s="2">
        <v>12</v>
      </c>
      <c r="M197" s="2" t="s">
        <v>275</v>
      </c>
      <c r="N197" s="2">
        <v>3</v>
      </c>
      <c r="O197" s="2" t="s">
        <v>312</v>
      </c>
      <c r="P197" s="2" t="s">
        <v>314</v>
      </c>
      <c r="Q197" s="2" t="s">
        <v>312</v>
      </c>
      <c r="R197" s="2" t="s">
        <v>313</v>
      </c>
      <c r="S197" s="2" t="s">
        <v>313</v>
      </c>
      <c r="T197" s="2" t="s">
        <v>314</v>
      </c>
      <c r="U197" s="2" t="s">
        <v>314</v>
      </c>
      <c r="V197" s="2" t="s">
        <v>316</v>
      </c>
      <c r="W197" s="2" t="s">
        <v>315</v>
      </c>
      <c r="X197" s="2" t="s">
        <v>318</v>
      </c>
      <c r="Y197" s="2" t="s">
        <v>315</v>
      </c>
      <c r="Z197" s="2" t="s">
        <v>313</v>
      </c>
      <c r="AA197" s="2" t="s">
        <v>316</v>
      </c>
      <c r="AB197" s="2" t="s">
        <v>324</v>
      </c>
      <c r="AC197" s="2" t="s">
        <v>1100</v>
      </c>
      <c r="AD197" s="2" t="s">
        <v>1105</v>
      </c>
    </row>
    <row r="198" spans="1:30" hidden="1" x14ac:dyDescent="0.3">
      <c r="A198" s="2" t="s">
        <v>30</v>
      </c>
      <c r="B198" s="2" t="s">
        <v>544</v>
      </c>
      <c r="C198" s="2" t="s">
        <v>935</v>
      </c>
      <c r="D198" s="2">
        <v>40</v>
      </c>
      <c r="E198" s="2" t="s">
        <v>231</v>
      </c>
      <c r="F198" s="2" t="s">
        <v>234</v>
      </c>
      <c r="G198" s="2" t="s">
        <v>242</v>
      </c>
      <c r="H198" s="2" t="s">
        <v>244</v>
      </c>
      <c r="I198" s="2">
        <v>23</v>
      </c>
      <c r="J198" s="2" t="s">
        <v>301</v>
      </c>
      <c r="K198" s="2" t="s">
        <v>309</v>
      </c>
      <c r="L198" s="2">
        <v>4</v>
      </c>
      <c r="M198" s="2" t="s">
        <v>275</v>
      </c>
      <c r="N198" s="2">
        <v>2</v>
      </c>
      <c r="O198" s="2" t="s">
        <v>311</v>
      </c>
      <c r="P198" s="2" t="s">
        <v>314</v>
      </c>
      <c r="Q198" s="2" t="s">
        <v>313</v>
      </c>
      <c r="R198" s="2" t="s">
        <v>313</v>
      </c>
      <c r="S198" s="2" t="s">
        <v>312</v>
      </c>
      <c r="T198" s="2" t="s">
        <v>314</v>
      </c>
      <c r="U198" s="2" t="s">
        <v>314</v>
      </c>
      <c r="V198" s="2" t="s">
        <v>316</v>
      </c>
      <c r="W198" s="2" t="s">
        <v>315</v>
      </c>
      <c r="X198" s="2" t="s">
        <v>320</v>
      </c>
      <c r="Y198" s="2" t="s">
        <v>315</v>
      </c>
      <c r="Z198" s="2" t="s">
        <v>313</v>
      </c>
      <c r="AA198" s="2" t="s">
        <v>316</v>
      </c>
      <c r="AB198" s="2" t="s">
        <v>323</v>
      </c>
      <c r="AC198" s="2" t="s">
        <v>1100</v>
      </c>
      <c r="AD198" s="2" t="s">
        <v>1105</v>
      </c>
    </row>
    <row r="199" spans="1:30" hidden="1" x14ac:dyDescent="0.3">
      <c r="A199" s="2" t="s">
        <v>30</v>
      </c>
      <c r="B199" s="2" t="s">
        <v>611</v>
      </c>
      <c r="C199" s="2" t="s">
        <v>660</v>
      </c>
      <c r="D199" s="2">
        <v>41</v>
      </c>
      <c r="E199" s="2" t="s">
        <v>231</v>
      </c>
      <c r="F199" s="2" t="s">
        <v>233</v>
      </c>
      <c r="G199" s="2" t="s">
        <v>238</v>
      </c>
      <c r="H199" s="2" t="s">
        <v>245</v>
      </c>
      <c r="I199" s="2">
        <v>20</v>
      </c>
      <c r="J199" s="2" t="s">
        <v>1075</v>
      </c>
      <c r="K199" s="2" t="s">
        <v>310</v>
      </c>
      <c r="L199" s="2">
        <v>14</v>
      </c>
      <c r="M199" s="2" t="s">
        <v>243</v>
      </c>
      <c r="N199" s="2">
        <v>0</v>
      </c>
      <c r="O199" s="2" t="s">
        <v>311</v>
      </c>
      <c r="P199" s="2" t="s">
        <v>311</v>
      </c>
      <c r="Q199" s="2" t="s">
        <v>313</v>
      </c>
      <c r="R199" s="2" t="s">
        <v>312</v>
      </c>
      <c r="S199" s="2" t="s">
        <v>314</v>
      </c>
      <c r="T199" s="2" t="s">
        <v>311</v>
      </c>
      <c r="U199" s="2" t="s">
        <v>311</v>
      </c>
      <c r="V199" s="2" t="s">
        <v>316</v>
      </c>
      <c r="W199" s="2" t="s">
        <v>315</v>
      </c>
      <c r="X199" s="2" t="s">
        <v>317</v>
      </c>
      <c r="Y199" s="2" t="s">
        <v>315</v>
      </c>
      <c r="Z199" s="2" t="s">
        <v>313</v>
      </c>
      <c r="AA199" s="2" t="s">
        <v>1095</v>
      </c>
      <c r="AB199" s="2" t="s">
        <v>325</v>
      </c>
      <c r="AC199" s="2" t="s">
        <v>1102</v>
      </c>
      <c r="AD199" s="2" t="s">
        <v>1105</v>
      </c>
    </row>
    <row r="200" spans="1:30" hidden="1" x14ac:dyDescent="0.3">
      <c r="A200" s="2" t="s">
        <v>30</v>
      </c>
      <c r="B200" s="2" t="s">
        <v>528</v>
      </c>
      <c r="C200" s="2" t="s">
        <v>822</v>
      </c>
      <c r="D200" s="2">
        <v>43</v>
      </c>
      <c r="E200" s="2" t="s">
        <v>231</v>
      </c>
      <c r="F200" s="2" t="s">
        <v>235</v>
      </c>
      <c r="G200" s="2" t="s">
        <v>242</v>
      </c>
      <c r="H200" s="2" t="s">
        <v>244</v>
      </c>
      <c r="I200" s="2">
        <v>9</v>
      </c>
      <c r="J200" s="2" t="s">
        <v>253</v>
      </c>
      <c r="K200" s="2" t="s">
        <v>310</v>
      </c>
      <c r="L200" s="2">
        <v>11</v>
      </c>
      <c r="M200" s="2" t="s">
        <v>243</v>
      </c>
      <c r="N200" s="2">
        <v>1</v>
      </c>
      <c r="O200" s="2" t="s">
        <v>312</v>
      </c>
      <c r="P200" s="2" t="s">
        <v>312</v>
      </c>
      <c r="Q200" s="2" t="s">
        <v>313</v>
      </c>
      <c r="R200" s="2" t="s">
        <v>312</v>
      </c>
      <c r="S200" s="2" t="s">
        <v>313</v>
      </c>
      <c r="T200" s="2" t="s">
        <v>311</v>
      </c>
      <c r="U200" s="2" t="s">
        <v>311</v>
      </c>
      <c r="V200" s="2" t="s">
        <v>316</v>
      </c>
      <c r="W200" s="2" t="s">
        <v>315</v>
      </c>
      <c r="X200" s="2" t="s">
        <v>318</v>
      </c>
      <c r="Y200" s="2" t="s">
        <v>316</v>
      </c>
      <c r="Z200" s="2" t="s">
        <v>313</v>
      </c>
      <c r="AA200" s="2" t="s">
        <v>316</v>
      </c>
      <c r="AB200" s="2" t="s">
        <v>323</v>
      </c>
      <c r="AC200" s="2" t="s">
        <v>1097</v>
      </c>
      <c r="AD200" s="2" t="s">
        <v>1105</v>
      </c>
    </row>
    <row r="201" spans="1:30" hidden="1" x14ac:dyDescent="0.3">
      <c r="A201" s="1">
        <v>45742.607210648152</v>
      </c>
      <c r="B201" s="2" t="s">
        <v>64</v>
      </c>
      <c r="C201" s="2" t="s">
        <v>752</v>
      </c>
      <c r="D201" s="2">
        <v>46</v>
      </c>
      <c r="E201" s="2" t="s">
        <v>231</v>
      </c>
      <c r="F201" s="2" t="s">
        <v>233</v>
      </c>
      <c r="G201" s="2" t="s">
        <v>242</v>
      </c>
      <c r="H201" s="2" t="s">
        <v>245</v>
      </c>
      <c r="I201" s="2">
        <v>20</v>
      </c>
      <c r="J201" s="2" t="s">
        <v>268</v>
      </c>
      <c r="K201" s="2" t="s">
        <v>308</v>
      </c>
      <c r="L201" s="2">
        <v>14</v>
      </c>
      <c r="M201" s="2" t="s">
        <v>275</v>
      </c>
      <c r="N201" s="2">
        <v>0</v>
      </c>
      <c r="O201" s="2" t="s">
        <v>313</v>
      </c>
      <c r="P201" s="2" t="s">
        <v>313</v>
      </c>
      <c r="Q201" s="2" t="s">
        <v>314</v>
      </c>
      <c r="R201" s="2" t="s">
        <v>314</v>
      </c>
      <c r="S201" s="2" t="s">
        <v>313</v>
      </c>
      <c r="T201" s="2" t="s">
        <v>312</v>
      </c>
      <c r="U201" s="2" t="s">
        <v>312</v>
      </c>
      <c r="V201" s="2" t="s">
        <v>316</v>
      </c>
      <c r="W201" s="2" t="s">
        <v>315</v>
      </c>
      <c r="X201" s="2" t="s">
        <v>320</v>
      </c>
      <c r="Y201" s="2" t="s">
        <v>315</v>
      </c>
      <c r="Z201" s="2" t="s">
        <v>313</v>
      </c>
      <c r="AA201" s="2" t="s">
        <v>316</v>
      </c>
      <c r="AB201" s="2" t="s">
        <v>323</v>
      </c>
      <c r="AC201" s="2" t="s">
        <v>360</v>
      </c>
      <c r="AD201" s="2" t="s">
        <v>460</v>
      </c>
    </row>
    <row r="202" spans="1:30" x14ac:dyDescent="0.3">
      <c r="A202" s="2" t="s">
        <v>30</v>
      </c>
      <c r="B202" s="2" t="s">
        <v>623</v>
      </c>
      <c r="C202" s="2" t="s">
        <v>919</v>
      </c>
      <c r="D202" s="2">
        <v>48</v>
      </c>
      <c r="E202" s="2" t="s">
        <v>232</v>
      </c>
      <c r="F202" s="2" t="s">
        <v>237</v>
      </c>
      <c r="G202" s="2" t="s">
        <v>242</v>
      </c>
      <c r="H202" s="2" t="s">
        <v>246</v>
      </c>
      <c r="I202" s="2">
        <v>21</v>
      </c>
      <c r="J202" s="2" t="s">
        <v>1032</v>
      </c>
      <c r="K202" s="2" t="s">
        <v>310</v>
      </c>
      <c r="L202" s="2">
        <v>2</v>
      </c>
      <c r="M202" s="2" t="s">
        <v>251</v>
      </c>
      <c r="N202" s="2">
        <v>0</v>
      </c>
      <c r="O202" s="2" t="s">
        <v>314</v>
      </c>
      <c r="P202" s="2" t="s">
        <v>311</v>
      </c>
      <c r="Q202" s="2" t="s">
        <v>311</v>
      </c>
      <c r="R202" s="2" t="s">
        <v>313</v>
      </c>
      <c r="S202" s="2" t="s">
        <v>314</v>
      </c>
      <c r="T202" s="2" t="s">
        <v>312</v>
      </c>
      <c r="U202" s="2" t="s">
        <v>312</v>
      </c>
      <c r="V202" s="2" t="s">
        <v>316</v>
      </c>
      <c r="W202" s="2" t="s">
        <v>315</v>
      </c>
      <c r="X202" s="2" t="s">
        <v>320</v>
      </c>
      <c r="Y202" s="2" t="s">
        <v>315</v>
      </c>
      <c r="Z202" s="2" t="s">
        <v>313</v>
      </c>
      <c r="AA202" s="2" t="s">
        <v>1095</v>
      </c>
      <c r="AB202" s="2" t="s">
        <v>326</v>
      </c>
      <c r="AC202" s="2" t="s">
        <v>1104</v>
      </c>
      <c r="AD202" s="2" t="s">
        <v>1105</v>
      </c>
    </row>
    <row r="203" spans="1:30" x14ac:dyDescent="0.3">
      <c r="A203" s="1">
        <v>45835.167696759258</v>
      </c>
      <c r="B203" s="2" t="s">
        <v>68</v>
      </c>
      <c r="C203" s="2" t="s">
        <v>893</v>
      </c>
      <c r="D203" s="2">
        <v>49</v>
      </c>
      <c r="E203" s="2" t="s">
        <v>232</v>
      </c>
      <c r="F203" s="2" t="s">
        <v>236</v>
      </c>
      <c r="G203" s="2" t="s">
        <v>238</v>
      </c>
      <c r="H203" s="2" t="s">
        <v>245</v>
      </c>
      <c r="I203" s="2">
        <v>23</v>
      </c>
      <c r="J203" s="2" t="s">
        <v>271</v>
      </c>
      <c r="K203" s="2" t="s">
        <v>308</v>
      </c>
      <c r="L203" s="2">
        <v>12</v>
      </c>
      <c r="M203" s="2" t="s">
        <v>243</v>
      </c>
      <c r="N203" s="2">
        <v>3</v>
      </c>
      <c r="O203" s="2" t="s">
        <v>311</v>
      </c>
      <c r="P203" s="2" t="s">
        <v>314</v>
      </c>
      <c r="Q203" s="2" t="s">
        <v>313</v>
      </c>
      <c r="R203" s="2" t="s">
        <v>312</v>
      </c>
      <c r="S203" s="2" t="s">
        <v>313</v>
      </c>
      <c r="T203" s="2" t="s">
        <v>312</v>
      </c>
      <c r="U203" s="2" t="s">
        <v>312</v>
      </c>
      <c r="V203" s="2" t="s">
        <v>316</v>
      </c>
      <c r="W203" s="2" t="s">
        <v>315</v>
      </c>
      <c r="X203" s="2" t="s">
        <v>319</v>
      </c>
      <c r="Y203" s="2" t="s">
        <v>315</v>
      </c>
      <c r="Z203" s="2" t="s">
        <v>313</v>
      </c>
      <c r="AA203" s="2" t="s">
        <v>322</v>
      </c>
      <c r="AB203" s="2" t="s">
        <v>324</v>
      </c>
      <c r="AC203" s="2" t="s">
        <v>364</v>
      </c>
      <c r="AD203" s="2" t="s">
        <v>464</v>
      </c>
    </row>
    <row r="204" spans="1:30" hidden="1" x14ac:dyDescent="0.3">
      <c r="A204" s="2" t="s">
        <v>30</v>
      </c>
      <c r="B204" s="2" t="s">
        <v>527</v>
      </c>
      <c r="C204" s="2" t="s">
        <v>791</v>
      </c>
      <c r="D204" s="2">
        <v>54</v>
      </c>
      <c r="E204" s="2" t="s">
        <v>231</v>
      </c>
      <c r="F204" s="2" t="s">
        <v>233</v>
      </c>
      <c r="G204" s="2" t="s">
        <v>240</v>
      </c>
      <c r="H204" s="2" t="s">
        <v>246</v>
      </c>
      <c r="I204" s="2">
        <v>27</v>
      </c>
      <c r="J204" s="2" t="s">
        <v>243</v>
      </c>
      <c r="K204" s="2" t="s">
        <v>309</v>
      </c>
      <c r="L204" s="2">
        <v>15</v>
      </c>
      <c r="M204" s="2" t="s">
        <v>262</v>
      </c>
      <c r="N204" s="2">
        <v>3</v>
      </c>
      <c r="O204" s="2" t="s">
        <v>314</v>
      </c>
      <c r="P204" s="2" t="s">
        <v>313</v>
      </c>
      <c r="Q204" s="2" t="s">
        <v>314</v>
      </c>
      <c r="R204" s="2" t="s">
        <v>313</v>
      </c>
      <c r="S204" s="2" t="s">
        <v>313</v>
      </c>
      <c r="T204" s="2" t="s">
        <v>313</v>
      </c>
      <c r="U204" s="2" t="s">
        <v>313</v>
      </c>
      <c r="V204" s="2" t="s">
        <v>316</v>
      </c>
      <c r="W204" s="2" t="s">
        <v>315</v>
      </c>
      <c r="X204" s="2" t="s">
        <v>318</v>
      </c>
      <c r="Y204" s="2" t="s">
        <v>315</v>
      </c>
      <c r="Z204" s="2" t="s">
        <v>313</v>
      </c>
      <c r="AA204" s="2" t="s">
        <v>321</v>
      </c>
      <c r="AB204" s="2" t="s">
        <v>326</v>
      </c>
      <c r="AC204" s="2" t="s">
        <v>1102</v>
      </c>
      <c r="AD204" s="2" t="s">
        <v>1105</v>
      </c>
    </row>
    <row r="205" spans="1:30" x14ac:dyDescent="0.3">
      <c r="A205" s="2" t="s">
        <v>30</v>
      </c>
      <c r="B205" s="2" t="s">
        <v>532</v>
      </c>
      <c r="C205" s="2" t="s">
        <v>945</v>
      </c>
      <c r="D205" s="2">
        <v>54</v>
      </c>
      <c r="E205" s="2" t="s">
        <v>232</v>
      </c>
      <c r="F205" s="2" t="s">
        <v>233</v>
      </c>
      <c r="G205" s="2" t="s">
        <v>241</v>
      </c>
      <c r="H205" s="2" t="s">
        <v>246</v>
      </c>
      <c r="I205" s="2">
        <v>6</v>
      </c>
      <c r="J205" s="2" t="s">
        <v>254</v>
      </c>
      <c r="K205" s="2" t="s">
        <v>310</v>
      </c>
      <c r="L205" s="2">
        <v>16</v>
      </c>
      <c r="M205" s="2" t="s">
        <v>255</v>
      </c>
      <c r="N205" s="2">
        <v>2</v>
      </c>
      <c r="O205" s="2" t="s">
        <v>313</v>
      </c>
      <c r="P205" s="2" t="s">
        <v>312</v>
      </c>
      <c r="Q205" s="2" t="s">
        <v>311</v>
      </c>
      <c r="R205" s="2" t="s">
        <v>311</v>
      </c>
      <c r="S205" s="2" t="s">
        <v>313</v>
      </c>
      <c r="T205" s="2" t="s">
        <v>311</v>
      </c>
      <c r="U205" s="2" t="s">
        <v>311</v>
      </c>
      <c r="V205" s="2" t="s">
        <v>316</v>
      </c>
      <c r="W205" s="2" t="s">
        <v>315</v>
      </c>
      <c r="X205" s="2" t="s">
        <v>318</v>
      </c>
      <c r="Y205" s="2" t="s">
        <v>315</v>
      </c>
      <c r="Z205" s="2" t="s">
        <v>313</v>
      </c>
      <c r="AA205" s="2" t="s">
        <v>321</v>
      </c>
      <c r="AB205" s="2" t="s">
        <v>323</v>
      </c>
      <c r="AC205" s="2" t="s">
        <v>1102</v>
      </c>
      <c r="AD205" s="2" t="s">
        <v>1105</v>
      </c>
    </row>
    <row r="206" spans="1:30" hidden="1" x14ac:dyDescent="0.3">
      <c r="A206" s="2" t="s">
        <v>30</v>
      </c>
      <c r="B206" s="2" t="s">
        <v>528</v>
      </c>
      <c r="C206" s="2" t="s">
        <v>783</v>
      </c>
      <c r="D206" s="2">
        <v>56</v>
      </c>
      <c r="E206" s="2" t="s">
        <v>231</v>
      </c>
      <c r="F206" s="2" t="s">
        <v>237</v>
      </c>
      <c r="G206" s="2" t="s">
        <v>240</v>
      </c>
      <c r="H206" s="2" t="s">
        <v>244</v>
      </c>
      <c r="I206" s="2">
        <v>29</v>
      </c>
      <c r="J206" s="2" t="s">
        <v>954</v>
      </c>
      <c r="K206" s="2" t="s">
        <v>310</v>
      </c>
      <c r="L206" s="2">
        <v>6</v>
      </c>
      <c r="M206" s="2" t="s">
        <v>251</v>
      </c>
      <c r="N206" s="2">
        <v>0</v>
      </c>
      <c r="O206" s="2" t="s">
        <v>311</v>
      </c>
      <c r="P206" s="2" t="s">
        <v>312</v>
      </c>
      <c r="Q206" s="2" t="s">
        <v>313</v>
      </c>
      <c r="R206" s="2" t="s">
        <v>314</v>
      </c>
      <c r="S206" s="2" t="s">
        <v>311</v>
      </c>
      <c r="T206" s="2" t="s">
        <v>314</v>
      </c>
      <c r="U206" s="2" t="s">
        <v>314</v>
      </c>
      <c r="V206" s="2" t="s">
        <v>316</v>
      </c>
      <c r="W206" s="2" t="s">
        <v>315</v>
      </c>
      <c r="X206" s="2" t="s">
        <v>320</v>
      </c>
      <c r="Y206" s="2" t="s">
        <v>316</v>
      </c>
      <c r="Z206" s="2" t="s">
        <v>313</v>
      </c>
      <c r="AA206" s="2" t="s">
        <v>1095</v>
      </c>
      <c r="AB206" s="2" t="s">
        <v>324</v>
      </c>
      <c r="AC206" s="2" t="s">
        <v>1096</v>
      </c>
      <c r="AD206" s="2" t="s">
        <v>1105</v>
      </c>
    </row>
    <row r="207" spans="1:30" x14ac:dyDescent="0.3">
      <c r="A207" s="2" t="s">
        <v>30</v>
      </c>
      <c r="B207" s="2" t="s">
        <v>588</v>
      </c>
      <c r="C207" s="2" t="s">
        <v>149</v>
      </c>
      <c r="D207" s="2">
        <v>56</v>
      </c>
      <c r="E207" s="2" t="s">
        <v>232</v>
      </c>
      <c r="F207" s="2" t="s">
        <v>235</v>
      </c>
      <c r="G207" s="2" t="s">
        <v>239</v>
      </c>
      <c r="H207" s="2" t="s">
        <v>244</v>
      </c>
      <c r="I207" s="2">
        <v>26</v>
      </c>
      <c r="J207" s="2" t="s">
        <v>262</v>
      </c>
      <c r="K207" s="2" t="s">
        <v>309</v>
      </c>
      <c r="L207" s="2">
        <v>14</v>
      </c>
      <c r="M207" s="2" t="s">
        <v>255</v>
      </c>
      <c r="N207" s="2">
        <v>1</v>
      </c>
      <c r="O207" s="2" t="s">
        <v>311</v>
      </c>
      <c r="P207" s="2" t="s">
        <v>311</v>
      </c>
      <c r="Q207" s="2" t="s">
        <v>313</v>
      </c>
      <c r="R207" s="2" t="s">
        <v>311</v>
      </c>
      <c r="S207" s="2" t="s">
        <v>312</v>
      </c>
      <c r="T207" s="2" t="s">
        <v>313</v>
      </c>
      <c r="U207" s="2" t="s">
        <v>313</v>
      </c>
      <c r="V207" s="2" t="s">
        <v>316</v>
      </c>
      <c r="W207" s="2" t="s">
        <v>315</v>
      </c>
      <c r="X207" s="2" t="s">
        <v>318</v>
      </c>
      <c r="Y207" s="2" t="s">
        <v>316</v>
      </c>
      <c r="Z207" s="2" t="s">
        <v>313</v>
      </c>
      <c r="AA207" s="2" t="s">
        <v>316</v>
      </c>
      <c r="AB207" s="2" t="s">
        <v>325</v>
      </c>
      <c r="AC207" s="2" t="s">
        <v>1096</v>
      </c>
      <c r="AD207" s="2" t="s">
        <v>1105</v>
      </c>
    </row>
    <row r="208" spans="1:30" hidden="1" x14ac:dyDescent="0.3">
      <c r="A208" s="2" t="s">
        <v>30</v>
      </c>
      <c r="B208" s="2" t="s">
        <v>588</v>
      </c>
      <c r="C208" s="2" t="s">
        <v>132</v>
      </c>
      <c r="D208" s="2">
        <v>57</v>
      </c>
      <c r="E208" s="2" t="s">
        <v>231</v>
      </c>
      <c r="F208" s="2" t="s">
        <v>233</v>
      </c>
      <c r="G208" s="2" t="s">
        <v>240</v>
      </c>
      <c r="H208" s="2" t="s">
        <v>246</v>
      </c>
      <c r="I208" s="2">
        <v>19</v>
      </c>
      <c r="J208" s="2" t="s">
        <v>249</v>
      </c>
      <c r="K208" s="2" t="s">
        <v>309</v>
      </c>
      <c r="L208" s="2">
        <v>11</v>
      </c>
      <c r="M208" s="2" t="s">
        <v>251</v>
      </c>
      <c r="N208" s="2">
        <v>2</v>
      </c>
      <c r="O208" s="2" t="s">
        <v>311</v>
      </c>
      <c r="P208" s="2" t="s">
        <v>314</v>
      </c>
      <c r="Q208" s="2" t="s">
        <v>312</v>
      </c>
      <c r="R208" s="2" t="s">
        <v>313</v>
      </c>
      <c r="S208" s="2" t="s">
        <v>311</v>
      </c>
      <c r="T208" s="2" t="s">
        <v>312</v>
      </c>
      <c r="U208" s="2" t="s">
        <v>312</v>
      </c>
      <c r="V208" s="2" t="s">
        <v>316</v>
      </c>
      <c r="W208" s="2" t="s">
        <v>315</v>
      </c>
      <c r="X208" s="2" t="s">
        <v>318</v>
      </c>
      <c r="Y208" s="2" t="s">
        <v>315</v>
      </c>
      <c r="Z208" s="2" t="s">
        <v>313</v>
      </c>
      <c r="AA208" s="2" t="s">
        <v>1095</v>
      </c>
      <c r="AB208" s="2" t="s">
        <v>323</v>
      </c>
      <c r="AC208" s="2" t="s">
        <v>1104</v>
      </c>
      <c r="AD208" s="2" t="s">
        <v>1105</v>
      </c>
    </row>
    <row r="209" spans="1:30" x14ac:dyDescent="0.3">
      <c r="A209" s="2" t="s">
        <v>30</v>
      </c>
      <c r="B209" s="2" t="s">
        <v>657</v>
      </c>
      <c r="C209" s="2" t="s">
        <v>680</v>
      </c>
      <c r="D209" s="2">
        <v>57</v>
      </c>
      <c r="E209" s="2" t="s">
        <v>232</v>
      </c>
      <c r="F209" s="2" t="s">
        <v>237</v>
      </c>
      <c r="G209" s="2" t="s">
        <v>243</v>
      </c>
      <c r="H209" s="2" t="s">
        <v>244</v>
      </c>
      <c r="I209" s="2">
        <v>17</v>
      </c>
      <c r="J209" s="2" t="s">
        <v>1083</v>
      </c>
      <c r="K209" s="2" t="s">
        <v>308</v>
      </c>
      <c r="L209" s="2">
        <v>8</v>
      </c>
      <c r="M209" s="2" t="s">
        <v>243</v>
      </c>
      <c r="N209" s="2">
        <v>0</v>
      </c>
      <c r="O209" s="2" t="s">
        <v>314</v>
      </c>
      <c r="P209" s="2" t="s">
        <v>311</v>
      </c>
      <c r="Q209" s="2" t="s">
        <v>313</v>
      </c>
      <c r="R209" s="2" t="s">
        <v>313</v>
      </c>
      <c r="S209" s="2" t="s">
        <v>312</v>
      </c>
      <c r="T209" s="2" t="s">
        <v>314</v>
      </c>
      <c r="U209" s="2" t="s">
        <v>314</v>
      </c>
      <c r="V209" s="2" t="s">
        <v>316</v>
      </c>
      <c r="W209" s="2" t="s">
        <v>315</v>
      </c>
      <c r="X209" s="2" t="s">
        <v>319</v>
      </c>
      <c r="Y209" s="2" t="s">
        <v>315</v>
      </c>
      <c r="Z209" s="2" t="s">
        <v>313</v>
      </c>
      <c r="AA209" s="2" t="s">
        <v>321</v>
      </c>
      <c r="AB209" s="2" t="s">
        <v>325</v>
      </c>
      <c r="AC209" s="2" t="s">
        <v>1102</v>
      </c>
      <c r="AD209" s="2" t="s">
        <v>1105</v>
      </c>
    </row>
    <row r="210" spans="1:30" hidden="1" x14ac:dyDescent="0.3">
      <c r="A210" s="1">
        <v>45776.601076388892</v>
      </c>
      <c r="B210" s="2" t="s">
        <v>83</v>
      </c>
      <c r="C210" s="2" t="s">
        <v>222</v>
      </c>
      <c r="D210" s="2">
        <v>58</v>
      </c>
      <c r="E210" s="2" t="s">
        <v>231</v>
      </c>
      <c r="F210" s="2" t="s">
        <v>237</v>
      </c>
      <c r="G210" s="2" t="s">
        <v>238</v>
      </c>
      <c r="H210" s="2" t="s">
        <v>245</v>
      </c>
      <c r="I210" s="2">
        <v>24</v>
      </c>
      <c r="J210" s="2" t="s">
        <v>282</v>
      </c>
      <c r="K210" s="2" t="s">
        <v>309</v>
      </c>
      <c r="L210" s="2">
        <v>19</v>
      </c>
      <c r="M210" s="2" t="s">
        <v>241</v>
      </c>
      <c r="N210" s="2">
        <v>1</v>
      </c>
      <c r="O210" s="2" t="s">
        <v>311</v>
      </c>
      <c r="P210" s="2" t="s">
        <v>313</v>
      </c>
      <c r="Q210" s="2" t="s">
        <v>311</v>
      </c>
      <c r="R210" s="2" t="s">
        <v>314</v>
      </c>
      <c r="S210" s="2" t="s">
        <v>313</v>
      </c>
      <c r="T210" s="2" t="s">
        <v>313</v>
      </c>
      <c r="U210" s="2" t="s">
        <v>312</v>
      </c>
      <c r="V210" s="2" t="s">
        <v>316</v>
      </c>
      <c r="W210" s="2" t="s">
        <v>315</v>
      </c>
      <c r="X210" s="2" t="s">
        <v>318</v>
      </c>
      <c r="Y210" s="2" t="s">
        <v>316</v>
      </c>
      <c r="Z210" s="2" t="s">
        <v>313</v>
      </c>
      <c r="AA210" s="2" t="s">
        <v>316</v>
      </c>
      <c r="AB210" s="2" t="s">
        <v>323</v>
      </c>
      <c r="AC210" s="2" t="s">
        <v>379</v>
      </c>
      <c r="AD210" s="2" t="s">
        <v>479</v>
      </c>
    </row>
    <row r="211" spans="1:30" hidden="1" x14ac:dyDescent="0.3">
      <c r="A211" s="1">
        <v>45667.203460648147</v>
      </c>
      <c r="B211" s="2" t="s">
        <v>71</v>
      </c>
      <c r="C211" s="2" t="s">
        <v>220</v>
      </c>
      <c r="D211" s="2">
        <v>59</v>
      </c>
      <c r="E211" s="2" t="s">
        <v>231</v>
      </c>
      <c r="F211" s="2" t="s">
        <v>235</v>
      </c>
      <c r="G211" s="2" t="s">
        <v>240</v>
      </c>
      <c r="H211" s="2" t="s">
        <v>245</v>
      </c>
      <c r="I211" s="2">
        <v>35</v>
      </c>
      <c r="J211" s="2" t="s">
        <v>273</v>
      </c>
      <c r="K211" s="2" t="s">
        <v>310</v>
      </c>
      <c r="L211" s="2">
        <v>4</v>
      </c>
      <c r="M211" s="2" t="s">
        <v>262</v>
      </c>
      <c r="N211" s="2">
        <v>3</v>
      </c>
      <c r="O211" s="2" t="s">
        <v>314</v>
      </c>
      <c r="P211" s="2" t="s">
        <v>314</v>
      </c>
      <c r="Q211" s="2" t="s">
        <v>313</v>
      </c>
      <c r="R211" s="2" t="s">
        <v>311</v>
      </c>
      <c r="S211" s="2" t="s">
        <v>313</v>
      </c>
      <c r="T211" s="2" t="s">
        <v>312</v>
      </c>
      <c r="U211" s="2" t="s">
        <v>314</v>
      </c>
      <c r="V211" s="2" t="s">
        <v>316</v>
      </c>
      <c r="W211" s="2" t="s">
        <v>315</v>
      </c>
      <c r="X211" s="2" t="s">
        <v>317</v>
      </c>
      <c r="Y211" s="2" t="s">
        <v>315</v>
      </c>
      <c r="Z211" s="2" t="s">
        <v>313</v>
      </c>
      <c r="AA211" s="2" t="s">
        <v>316</v>
      </c>
      <c r="AB211" s="2" t="s">
        <v>326</v>
      </c>
      <c r="AC211" s="2" t="s">
        <v>367</v>
      </c>
      <c r="AD211" s="2" t="s">
        <v>467</v>
      </c>
    </row>
    <row r="212" spans="1:30" hidden="1" x14ac:dyDescent="0.3">
      <c r="A212" s="1">
        <v>45721.744456018518</v>
      </c>
      <c r="B212" s="2" t="s">
        <v>49</v>
      </c>
      <c r="C212" s="2" t="s">
        <v>861</v>
      </c>
      <c r="D212" s="2">
        <v>60</v>
      </c>
      <c r="E212" s="2" t="s">
        <v>231</v>
      </c>
      <c r="F212" s="2" t="s">
        <v>233</v>
      </c>
      <c r="G212" s="2" t="s">
        <v>240</v>
      </c>
      <c r="H212" s="2" t="s">
        <v>246</v>
      </c>
      <c r="I212" s="2">
        <v>33</v>
      </c>
      <c r="J212" s="2" t="s">
        <v>258</v>
      </c>
      <c r="K212" s="2" t="s">
        <v>309</v>
      </c>
      <c r="L212" s="2">
        <v>5</v>
      </c>
      <c r="M212" s="2" t="s">
        <v>249</v>
      </c>
      <c r="N212" s="2">
        <v>0</v>
      </c>
      <c r="O212" s="2" t="s">
        <v>314</v>
      </c>
      <c r="P212" s="2" t="s">
        <v>313</v>
      </c>
      <c r="Q212" s="2" t="s">
        <v>312</v>
      </c>
      <c r="R212" s="2" t="s">
        <v>313</v>
      </c>
      <c r="S212" s="2" t="s">
        <v>314</v>
      </c>
      <c r="T212" s="2" t="s">
        <v>312</v>
      </c>
      <c r="U212" s="2" t="s">
        <v>313</v>
      </c>
      <c r="V212" s="2" t="s">
        <v>316</v>
      </c>
      <c r="W212" s="2" t="s">
        <v>315</v>
      </c>
      <c r="X212" s="2" t="s">
        <v>317</v>
      </c>
      <c r="Y212" s="2" t="s">
        <v>315</v>
      </c>
      <c r="Z212" s="2" t="s">
        <v>313</v>
      </c>
      <c r="AA212" s="2" t="s">
        <v>322</v>
      </c>
      <c r="AB212" s="2" t="s">
        <v>326</v>
      </c>
      <c r="AC212" s="2" t="s">
        <v>345</v>
      </c>
      <c r="AD212" s="2" t="s">
        <v>445</v>
      </c>
    </row>
    <row r="213" spans="1:30" x14ac:dyDescent="0.3">
      <c r="A213" s="2" t="s">
        <v>30</v>
      </c>
      <c r="B213" s="2" t="s">
        <v>622</v>
      </c>
      <c r="C213" s="2" t="s">
        <v>186</v>
      </c>
      <c r="D213" s="2">
        <v>28</v>
      </c>
      <c r="E213" s="2" t="s">
        <v>232</v>
      </c>
      <c r="F213" s="2" t="s">
        <v>235</v>
      </c>
      <c r="G213" s="2" t="s">
        <v>241</v>
      </c>
      <c r="H213" s="2" t="s">
        <v>246</v>
      </c>
      <c r="I213" s="2">
        <v>14</v>
      </c>
      <c r="J213" s="2" t="s">
        <v>241</v>
      </c>
      <c r="K213" s="2" t="s">
        <v>309</v>
      </c>
      <c r="L213" s="2">
        <v>2</v>
      </c>
      <c r="M213" s="2" t="s">
        <v>251</v>
      </c>
      <c r="N213" s="2">
        <v>0</v>
      </c>
      <c r="O213" s="2" t="s">
        <v>314</v>
      </c>
      <c r="P213" s="2" t="s">
        <v>311</v>
      </c>
      <c r="Q213" s="2" t="s">
        <v>314</v>
      </c>
      <c r="R213" s="2" t="s">
        <v>313</v>
      </c>
      <c r="S213" s="2" t="s">
        <v>314</v>
      </c>
      <c r="T213" s="2" t="s">
        <v>314</v>
      </c>
      <c r="U213" s="2" t="s">
        <v>314</v>
      </c>
      <c r="V213" s="2" t="s">
        <v>316</v>
      </c>
      <c r="W213" s="2" t="s">
        <v>315</v>
      </c>
      <c r="X213" s="2" t="s">
        <v>318</v>
      </c>
      <c r="Y213" s="2" t="s">
        <v>315</v>
      </c>
      <c r="Z213" s="2" t="s">
        <v>311</v>
      </c>
      <c r="AA213" s="2" t="s">
        <v>1095</v>
      </c>
      <c r="AB213" s="2" t="s">
        <v>325</v>
      </c>
      <c r="AC213" s="2" t="s">
        <v>1103</v>
      </c>
      <c r="AD213" s="2" t="s">
        <v>1105</v>
      </c>
    </row>
    <row r="214" spans="1:30" hidden="1" x14ac:dyDescent="0.3">
      <c r="A214" s="2" t="s">
        <v>30</v>
      </c>
      <c r="B214" s="2" t="s">
        <v>587</v>
      </c>
      <c r="C214" s="2" t="s">
        <v>217</v>
      </c>
      <c r="D214" s="2">
        <v>29</v>
      </c>
      <c r="E214" s="2" t="s">
        <v>231</v>
      </c>
      <c r="F214" s="2" t="s">
        <v>237</v>
      </c>
      <c r="G214" s="2" t="s">
        <v>243</v>
      </c>
      <c r="H214" s="2" t="s">
        <v>245</v>
      </c>
      <c r="I214" s="2">
        <v>27</v>
      </c>
      <c r="J214" s="2" t="s">
        <v>988</v>
      </c>
      <c r="K214" s="2" t="s">
        <v>308</v>
      </c>
      <c r="L214" s="2">
        <v>20</v>
      </c>
      <c r="M214" s="2" t="s">
        <v>262</v>
      </c>
      <c r="N214" s="2">
        <v>1</v>
      </c>
      <c r="O214" s="2" t="s">
        <v>312</v>
      </c>
      <c r="P214" s="2" t="s">
        <v>312</v>
      </c>
      <c r="Q214" s="2" t="s">
        <v>314</v>
      </c>
      <c r="R214" s="2" t="s">
        <v>314</v>
      </c>
      <c r="S214" s="2" t="s">
        <v>314</v>
      </c>
      <c r="T214" s="2" t="s">
        <v>313</v>
      </c>
      <c r="U214" s="2" t="s">
        <v>313</v>
      </c>
      <c r="V214" s="2" t="s">
        <v>316</v>
      </c>
      <c r="W214" s="2" t="s">
        <v>315</v>
      </c>
      <c r="X214" s="2" t="s">
        <v>319</v>
      </c>
      <c r="Y214" s="2" t="s">
        <v>315</v>
      </c>
      <c r="Z214" s="2" t="s">
        <v>311</v>
      </c>
      <c r="AA214" s="2" t="s">
        <v>316</v>
      </c>
      <c r="AB214" s="2" t="s">
        <v>324</v>
      </c>
      <c r="AC214" s="2" t="s">
        <v>1104</v>
      </c>
      <c r="AD214" s="2" t="s">
        <v>1105</v>
      </c>
    </row>
    <row r="215" spans="1:30" hidden="1" x14ac:dyDescent="0.3">
      <c r="A215" s="2" t="s">
        <v>30</v>
      </c>
      <c r="B215" s="2" t="s">
        <v>605</v>
      </c>
      <c r="C215" s="2" t="s">
        <v>681</v>
      </c>
      <c r="D215" s="2">
        <v>31</v>
      </c>
      <c r="E215" s="2" t="s">
        <v>231</v>
      </c>
      <c r="F215" s="2" t="s">
        <v>234</v>
      </c>
      <c r="G215" s="2" t="s">
        <v>241</v>
      </c>
      <c r="H215" s="2" t="s">
        <v>246</v>
      </c>
      <c r="I215" s="2">
        <v>15</v>
      </c>
      <c r="J215" s="2" t="s">
        <v>1014</v>
      </c>
      <c r="K215" s="2" t="s">
        <v>309</v>
      </c>
      <c r="L215" s="2">
        <v>13</v>
      </c>
      <c r="M215" s="2" t="s">
        <v>262</v>
      </c>
      <c r="N215" s="2">
        <v>0</v>
      </c>
      <c r="O215" s="2" t="s">
        <v>311</v>
      </c>
      <c r="P215" s="2" t="s">
        <v>314</v>
      </c>
      <c r="Q215" s="2" t="s">
        <v>312</v>
      </c>
      <c r="R215" s="2" t="s">
        <v>311</v>
      </c>
      <c r="S215" s="2" t="s">
        <v>312</v>
      </c>
      <c r="T215" s="2" t="s">
        <v>313</v>
      </c>
      <c r="U215" s="2" t="s">
        <v>313</v>
      </c>
      <c r="V215" s="2" t="s">
        <v>316</v>
      </c>
      <c r="W215" s="2" t="s">
        <v>315</v>
      </c>
      <c r="X215" s="2" t="s">
        <v>320</v>
      </c>
      <c r="Y215" s="2" t="s">
        <v>315</v>
      </c>
      <c r="Z215" s="2" t="s">
        <v>311</v>
      </c>
      <c r="AA215" s="2" t="s">
        <v>321</v>
      </c>
      <c r="AB215" s="2" t="s">
        <v>323</v>
      </c>
      <c r="AC215" s="2" t="s">
        <v>1104</v>
      </c>
      <c r="AD215" s="2" t="s">
        <v>1105</v>
      </c>
    </row>
    <row r="216" spans="1:30" hidden="1" x14ac:dyDescent="0.3">
      <c r="A216" s="1">
        <v>45787.322754629633</v>
      </c>
      <c r="B216" s="2" t="s">
        <v>73</v>
      </c>
      <c r="C216" s="2" t="s">
        <v>828</v>
      </c>
      <c r="D216" s="2">
        <v>32</v>
      </c>
      <c r="E216" s="2" t="s">
        <v>231</v>
      </c>
      <c r="F216" s="2" t="s">
        <v>236</v>
      </c>
      <c r="G216" s="2" t="s">
        <v>238</v>
      </c>
      <c r="H216" s="2" t="s">
        <v>244</v>
      </c>
      <c r="I216" s="2">
        <v>23</v>
      </c>
      <c r="J216" s="2" t="s">
        <v>275</v>
      </c>
      <c r="K216" s="2" t="s">
        <v>309</v>
      </c>
      <c r="L216" s="2">
        <v>0</v>
      </c>
      <c r="M216" s="2" t="s">
        <v>251</v>
      </c>
      <c r="N216" s="2">
        <v>1</v>
      </c>
      <c r="O216" s="2" t="s">
        <v>311</v>
      </c>
      <c r="P216" s="2" t="s">
        <v>312</v>
      </c>
      <c r="Q216" s="2" t="s">
        <v>314</v>
      </c>
      <c r="R216" s="2" t="s">
        <v>311</v>
      </c>
      <c r="S216" s="2" t="s">
        <v>311</v>
      </c>
      <c r="T216" s="2" t="s">
        <v>314</v>
      </c>
      <c r="U216" s="2" t="s">
        <v>314</v>
      </c>
      <c r="V216" s="2" t="s">
        <v>316</v>
      </c>
      <c r="W216" s="2" t="s">
        <v>315</v>
      </c>
      <c r="X216" s="2" t="s">
        <v>320</v>
      </c>
      <c r="Y216" s="2" t="s">
        <v>315</v>
      </c>
      <c r="Z216" s="2" t="s">
        <v>311</v>
      </c>
      <c r="AA216" s="2" t="s">
        <v>316</v>
      </c>
      <c r="AB216" s="2" t="s">
        <v>326</v>
      </c>
      <c r="AC216" s="2" t="s">
        <v>369</v>
      </c>
      <c r="AD216" s="2" t="s">
        <v>469</v>
      </c>
    </row>
    <row r="217" spans="1:30" hidden="1" x14ac:dyDescent="0.3">
      <c r="A217" s="2" t="s">
        <v>30</v>
      </c>
      <c r="B217" s="2" t="s">
        <v>550</v>
      </c>
      <c r="C217" s="2" t="s">
        <v>665</v>
      </c>
      <c r="D217" s="2">
        <v>35</v>
      </c>
      <c r="E217" s="2" t="s">
        <v>231</v>
      </c>
      <c r="F217" s="2" t="s">
        <v>235</v>
      </c>
      <c r="G217" s="2" t="s">
        <v>238</v>
      </c>
      <c r="H217" s="2" t="s">
        <v>245</v>
      </c>
      <c r="I217" s="2">
        <v>3</v>
      </c>
      <c r="J217" s="2" t="s">
        <v>284</v>
      </c>
      <c r="K217" s="2" t="s">
        <v>308</v>
      </c>
      <c r="L217" s="2">
        <v>8</v>
      </c>
      <c r="M217" s="2" t="s">
        <v>251</v>
      </c>
      <c r="N217" s="2">
        <v>2</v>
      </c>
      <c r="O217" s="2" t="s">
        <v>314</v>
      </c>
      <c r="P217" s="2" t="s">
        <v>311</v>
      </c>
      <c r="Q217" s="2" t="s">
        <v>313</v>
      </c>
      <c r="R217" s="2" t="s">
        <v>312</v>
      </c>
      <c r="S217" s="2" t="s">
        <v>311</v>
      </c>
      <c r="T217" s="2" t="s">
        <v>314</v>
      </c>
      <c r="U217" s="2" t="s">
        <v>314</v>
      </c>
      <c r="V217" s="2" t="s">
        <v>316</v>
      </c>
      <c r="W217" s="2" t="s">
        <v>315</v>
      </c>
      <c r="X217" s="2" t="s">
        <v>317</v>
      </c>
      <c r="Y217" s="2" t="s">
        <v>316</v>
      </c>
      <c r="Z217" s="2" t="s">
        <v>311</v>
      </c>
      <c r="AA217" s="2" t="s">
        <v>316</v>
      </c>
      <c r="AB217" s="2" t="s">
        <v>323</v>
      </c>
      <c r="AC217" s="2" t="s">
        <v>1099</v>
      </c>
      <c r="AD217" s="2" t="s">
        <v>1105</v>
      </c>
    </row>
    <row r="218" spans="1:30" x14ac:dyDescent="0.3">
      <c r="A218" s="1">
        <v>45668.846018518518</v>
      </c>
      <c r="B218" s="2" t="s">
        <v>40</v>
      </c>
      <c r="C218" s="2" t="s">
        <v>663</v>
      </c>
      <c r="D218" s="2">
        <v>37</v>
      </c>
      <c r="E218" s="2" t="s">
        <v>232</v>
      </c>
      <c r="F218" s="2" t="s">
        <v>234</v>
      </c>
      <c r="G218" s="2" t="s">
        <v>242</v>
      </c>
      <c r="H218" s="2" t="s">
        <v>246</v>
      </c>
      <c r="I218" s="2">
        <v>35</v>
      </c>
      <c r="J218" s="2" t="s">
        <v>249</v>
      </c>
      <c r="K218" s="2" t="s">
        <v>309</v>
      </c>
      <c r="L218" s="2">
        <v>1</v>
      </c>
      <c r="M218" s="2" t="s">
        <v>241</v>
      </c>
      <c r="N218" s="2">
        <v>0</v>
      </c>
      <c r="O218" s="2" t="s">
        <v>312</v>
      </c>
      <c r="P218" s="2" t="s">
        <v>311</v>
      </c>
      <c r="Q218" s="2" t="s">
        <v>311</v>
      </c>
      <c r="R218" s="2" t="s">
        <v>312</v>
      </c>
      <c r="S218" s="2" t="s">
        <v>311</v>
      </c>
      <c r="T218" s="2" t="s">
        <v>311</v>
      </c>
      <c r="U218" s="2" t="s">
        <v>312</v>
      </c>
      <c r="V218" s="2" t="s">
        <v>316</v>
      </c>
      <c r="W218" s="2" t="s">
        <v>315</v>
      </c>
      <c r="X218" s="2" t="s">
        <v>318</v>
      </c>
      <c r="Y218" s="2" t="s">
        <v>315</v>
      </c>
      <c r="Z218" s="2" t="s">
        <v>311</v>
      </c>
      <c r="AA218" s="2" t="s">
        <v>322</v>
      </c>
      <c r="AB218" s="2" t="s">
        <v>326</v>
      </c>
      <c r="AC218" s="2" t="s">
        <v>336</v>
      </c>
      <c r="AD218" s="2" t="s">
        <v>436</v>
      </c>
    </row>
    <row r="219" spans="1:30" x14ac:dyDescent="0.3">
      <c r="A219" s="1">
        <v>45811.781400462962</v>
      </c>
      <c r="B219" s="2" t="s">
        <v>105</v>
      </c>
      <c r="C219" s="2" t="s">
        <v>914</v>
      </c>
      <c r="D219" s="2">
        <v>37</v>
      </c>
      <c r="E219" s="2" t="s">
        <v>232</v>
      </c>
      <c r="F219" s="2" t="s">
        <v>233</v>
      </c>
      <c r="G219" s="2" t="s">
        <v>239</v>
      </c>
      <c r="H219" s="2" t="s">
        <v>246</v>
      </c>
      <c r="I219" s="2">
        <v>4</v>
      </c>
      <c r="J219" s="2" t="s">
        <v>249</v>
      </c>
      <c r="K219" s="2" t="s">
        <v>310</v>
      </c>
      <c r="L219" s="2">
        <v>7</v>
      </c>
      <c r="M219" s="2" t="s">
        <v>275</v>
      </c>
      <c r="N219" s="2">
        <v>3</v>
      </c>
      <c r="O219" s="2" t="s">
        <v>312</v>
      </c>
      <c r="P219" s="2" t="s">
        <v>314</v>
      </c>
      <c r="Q219" s="2" t="s">
        <v>312</v>
      </c>
      <c r="R219" s="2" t="s">
        <v>311</v>
      </c>
      <c r="S219" s="2" t="s">
        <v>314</v>
      </c>
      <c r="T219" s="2" t="s">
        <v>314</v>
      </c>
      <c r="U219" s="2" t="s">
        <v>312</v>
      </c>
      <c r="V219" s="2" t="s">
        <v>316</v>
      </c>
      <c r="W219" s="2" t="s">
        <v>315</v>
      </c>
      <c r="X219" s="2" t="s">
        <v>319</v>
      </c>
      <c r="Y219" s="2" t="s">
        <v>316</v>
      </c>
      <c r="Z219" s="2" t="s">
        <v>311</v>
      </c>
      <c r="AA219" s="2" t="s">
        <v>322</v>
      </c>
      <c r="AB219" s="2" t="s">
        <v>326</v>
      </c>
      <c r="AC219" s="2" t="s">
        <v>401</v>
      </c>
      <c r="AD219" s="2" t="s">
        <v>501</v>
      </c>
    </row>
    <row r="220" spans="1:30" hidden="1" x14ac:dyDescent="0.3">
      <c r="A220" s="2" t="s">
        <v>30</v>
      </c>
      <c r="B220" s="2" t="s">
        <v>547</v>
      </c>
      <c r="C220" s="2" t="s">
        <v>180</v>
      </c>
      <c r="D220" s="2">
        <v>37</v>
      </c>
      <c r="E220" s="2" t="s">
        <v>231</v>
      </c>
      <c r="F220" s="2" t="s">
        <v>236</v>
      </c>
      <c r="G220" s="2" t="s">
        <v>240</v>
      </c>
      <c r="H220" s="2" t="s">
        <v>245</v>
      </c>
      <c r="I220" s="2">
        <v>6</v>
      </c>
      <c r="J220" s="2" t="s">
        <v>1047</v>
      </c>
      <c r="K220" s="2" t="s">
        <v>310</v>
      </c>
      <c r="L220" s="2">
        <v>19</v>
      </c>
      <c r="M220" s="2" t="s">
        <v>262</v>
      </c>
      <c r="N220" s="2">
        <v>0</v>
      </c>
      <c r="O220" s="2" t="s">
        <v>313</v>
      </c>
      <c r="P220" s="2" t="s">
        <v>313</v>
      </c>
      <c r="Q220" s="2" t="s">
        <v>313</v>
      </c>
      <c r="R220" s="2" t="s">
        <v>313</v>
      </c>
      <c r="S220" s="2" t="s">
        <v>313</v>
      </c>
      <c r="T220" s="2" t="s">
        <v>314</v>
      </c>
      <c r="U220" s="2" t="s">
        <v>314</v>
      </c>
      <c r="V220" s="2" t="s">
        <v>316</v>
      </c>
      <c r="W220" s="2" t="s">
        <v>315</v>
      </c>
      <c r="X220" s="2" t="s">
        <v>317</v>
      </c>
      <c r="Y220" s="2" t="s">
        <v>316</v>
      </c>
      <c r="Z220" s="2" t="s">
        <v>311</v>
      </c>
      <c r="AA220" s="2" t="s">
        <v>1095</v>
      </c>
      <c r="AB220" s="2" t="s">
        <v>323</v>
      </c>
      <c r="AC220" s="2" t="s">
        <v>1098</v>
      </c>
      <c r="AD220" s="2" t="s">
        <v>1105</v>
      </c>
    </row>
    <row r="221" spans="1:30" x14ac:dyDescent="0.3">
      <c r="A221" s="2" t="s">
        <v>30</v>
      </c>
      <c r="B221" s="2" t="s">
        <v>635</v>
      </c>
      <c r="C221" s="2" t="s">
        <v>809</v>
      </c>
      <c r="D221" s="2">
        <v>39</v>
      </c>
      <c r="E221" s="2" t="s">
        <v>232</v>
      </c>
      <c r="F221" s="2" t="s">
        <v>233</v>
      </c>
      <c r="G221" s="2" t="s">
        <v>242</v>
      </c>
      <c r="H221" s="2" t="s">
        <v>246</v>
      </c>
      <c r="I221" s="2">
        <v>2</v>
      </c>
      <c r="J221" s="2" t="s">
        <v>1006</v>
      </c>
      <c r="K221" s="2" t="s">
        <v>309</v>
      </c>
      <c r="L221" s="2">
        <v>19</v>
      </c>
      <c r="M221" s="2" t="s">
        <v>262</v>
      </c>
      <c r="N221" s="2">
        <v>1</v>
      </c>
      <c r="O221" s="2" t="s">
        <v>314</v>
      </c>
      <c r="P221" s="2" t="s">
        <v>314</v>
      </c>
      <c r="Q221" s="2" t="s">
        <v>312</v>
      </c>
      <c r="R221" s="2" t="s">
        <v>314</v>
      </c>
      <c r="S221" s="2" t="s">
        <v>313</v>
      </c>
      <c r="T221" s="2" t="s">
        <v>313</v>
      </c>
      <c r="U221" s="2" t="s">
        <v>313</v>
      </c>
      <c r="V221" s="2" t="s">
        <v>316</v>
      </c>
      <c r="W221" s="2" t="s">
        <v>315</v>
      </c>
      <c r="X221" s="2" t="s">
        <v>319</v>
      </c>
      <c r="Y221" s="2" t="s">
        <v>316</v>
      </c>
      <c r="Z221" s="2" t="s">
        <v>311</v>
      </c>
      <c r="AA221" s="2" t="s">
        <v>1095</v>
      </c>
      <c r="AB221" s="2" t="s">
        <v>325</v>
      </c>
      <c r="AC221" s="2" t="s">
        <v>1097</v>
      </c>
      <c r="AD221" s="2" t="s">
        <v>1105</v>
      </c>
    </row>
    <row r="222" spans="1:30" hidden="1" x14ac:dyDescent="0.3">
      <c r="A222" s="2" t="s">
        <v>30</v>
      </c>
      <c r="B222" s="2" t="s">
        <v>549</v>
      </c>
      <c r="C222" s="2" t="s">
        <v>1107</v>
      </c>
      <c r="D222" s="2">
        <v>41</v>
      </c>
      <c r="E222" s="2" t="s">
        <v>231</v>
      </c>
      <c r="F222" s="2" t="s">
        <v>234</v>
      </c>
      <c r="G222" s="2" t="s">
        <v>241</v>
      </c>
      <c r="H222" s="2" t="s">
        <v>244</v>
      </c>
      <c r="I222" s="2">
        <v>21</v>
      </c>
      <c r="J222" s="2" t="s">
        <v>249</v>
      </c>
      <c r="K222" s="2" t="s">
        <v>310</v>
      </c>
      <c r="L222" s="2">
        <v>2</v>
      </c>
      <c r="M222" s="2" t="s">
        <v>241</v>
      </c>
      <c r="N222" s="2">
        <v>3</v>
      </c>
      <c r="O222" s="2" t="s">
        <v>314</v>
      </c>
      <c r="P222" s="2" t="s">
        <v>311</v>
      </c>
      <c r="Q222" s="2" t="s">
        <v>312</v>
      </c>
      <c r="R222" s="2" t="s">
        <v>312</v>
      </c>
      <c r="S222" s="2" t="s">
        <v>314</v>
      </c>
      <c r="T222" s="2" t="s">
        <v>311</v>
      </c>
      <c r="U222" s="2" t="s">
        <v>311</v>
      </c>
      <c r="V222" s="2" t="s">
        <v>316</v>
      </c>
      <c r="W222" s="2" t="s">
        <v>315</v>
      </c>
      <c r="X222" s="2" t="s">
        <v>320</v>
      </c>
      <c r="Y222" s="2" t="s">
        <v>316</v>
      </c>
      <c r="Z222" s="2" t="s">
        <v>311</v>
      </c>
      <c r="AA222" s="2" t="s">
        <v>316</v>
      </c>
      <c r="AB222" s="2" t="s">
        <v>324</v>
      </c>
      <c r="AC222" s="2" t="s">
        <v>1102</v>
      </c>
      <c r="AD222" s="2" t="s">
        <v>1105</v>
      </c>
    </row>
    <row r="223" spans="1:30" x14ac:dyDescent="0.3">
      <c r="A223" s="2" t="s">
        <v>30</v>
      </c>
      <c r="B223" s="2" t="s">
        <v>536</v>
      </c>
      <c r="C223" s="2" t="s">
        <v>923</v>
      </c>
      <c r="D223" s="2">
        <v>44</v>
      </c>
      <c r="E223" s="2" t="s">
        <v>232</v>
      </c>
      <c r="F223" s="2" t="s">
        <v>235</v>
      </c>
      <c r="G223" s="2" t="s">
        <v>239</v>
      </c>
      <c r="H223" s="2" t="s">
        <v>246</v>
      </c>
      <c r="I223" s="2">
        <v>17</v>
      </c>
      <c r="J223" s="2" t="s">
        <v>955</v>
      </c>
      <c r="K223" s="2" t="s">
        <v>309</v>
      </c>
      <c r="L223" s="2">
        <v>18</v>
      </c>
      <c r="M223" s="2" t="s">
        <v>262</v>
      </c>
      <c r="N223" s="2">
        <v>0</v>
      </c>
      <c r="O223" s="2" t="s">
        <v>313</v>
      </c>
      <c r="P223" s="2" t="s">
        <v>313</v>
      </c>
      <c r="Q223" s="2" t="s">
        <v>311</v>
      </c>
      <c r="R223" s="2" t="s">
        <v>313</v>
      </c>
      <c r="S223" s="2" t="s">
        <v>311</v>
      </c>
      <c r="T223" s="2" t="s">
        <v>311</v>
      </c>
      <c r="U223" s="2" t="s">
        <v>311</v>
      </c>
      <c r="V223" s="2" t="s">
        <v>316</v>
      </c>
      <c r="W223" s="2" t="s">
        <v>315</v>
      </c>
      <c r="X223" s="2" t="s">
        <v>317</v>
      </c>
      <c r="Y223" s="2" t="s">
        <v>315</v>
      </c>
      <c r="Z223" s="2" t="s">
        <v>311</v>
      </c>
      <c r="AA223" s="2" t="s">
        <v>316</v>
      </c>
      <c r="AB223" s="2" t="s">
        <v>324</v>
      </c>
      <c r="AC223" s="2" t="s">
        <v>1096</v>
      </c>
      <c r="AD223" s="2" t="s">
        <v>1105</v>
      </c>
    </row>
    <row r="224" spans="1:30" x14ac:dyDescent="0.3">
      <c r="A224" s="1">
        <v>45778.999050925922</v>
      </c>
      <c r="B224" s="2" t="s">
        <v>75</v>
      </c>
      <c r="C224" s="2" t="s">
        <v>178</v>
      </c>
      <c r="D224" s="2">
        <v>46</v>
      </c>
      <c r="E224" s="2" t="s">
        <v>232</v>
      </c>
      <c r="F224" s="2" t="s">
        <v>235</v>
      </c>
      <c r="G224" s="2" t="s">
        <v>240</v>
      </c>
      <c r="H224" s="2" t="s">
        <v>246</v>
      </c>
      <c r="I224" s="2">
        <v>7</v>
      </c>
      <c r="J224" s="2" t="s">
        <v>277</v>
      </c>
      <c r="K224" s="2" t="s">
        <v>310</v>
      </c>
      <c r="L224" s="2">
        <v>8</v>
      </c>
      <c r="M224" s="2" t="s">
        <v>243</v>
      </c>
      <c r="N224" s="2">
        <v>2</v>
      </c>
      <c r="O224" s="2" t="s">
        <v>314</v>
      </c>
      <c r="P224" s="2" t="s">
        <v>311</v>
      </c>
      <c r="Q224" s="2" t="s">
        <v>311</v>
      </c>
      <c r="R224" s="2" t="s">
        <v>311</v>
      </c>
      <c r="S224" s="2" t="s">
        <v>311</v>
      </c>
      <c r="T224" s="2" t="s">
        <v>314</v>
      </c>
      <c r="U224" s="2" t="s">
        <v>311</v>
      </c>
      <c r="V224" s="2" t="s">
        <v>316</v>
      </c>
      <c r="W224" s="2" t="s">
        <v>315</v>
      </c>
      <c r="X224" s="2" t="s">
        <v>319</v>
      </c>
      <c r="Y224" s="2" t="s">
        <v>316</v>
      </c>
      <c r="Z224" s="2" t="s">
        <v>311</v>
      </c>
      <c r="AA224" s="2" t="s">
        <v>322</v>
      </c>
      <c r="AB224" s="2" t="s">
        <v>326</v>
      </c>
      <c r="AC224" s="2" t="s">
        <v>371</v>
      </c>
      <c r="AD224" s="2" t="s">
        <v>471</v>
      </c>
    </row>
    <row r="225" spans="1:30" hidden="1" x14ac:dyDescent="0.3">
      <c r="A225" s="1">
        <v>45744.507673611108</v>
      </c>
      <c r="B225" s="2" t="s">
        <v>87</v>
      </c>
      <c r="C225" s="2" t="s">
        <v>157</v>
      </c>
      <c r="D225" s="2">
        <v>47</v>
      </c>
      <c r="E225" s="2" t="s">
        <v>231</v>
      </c>
      <c r="F225" s="2" t="s">
        <v>235</v>
      </c>
      <c r="G225" s="2" t="s">
        <v>242</v>
      </c>
      <c r="H225" s="2" t="s">
        <v>245</v>
      </c>
      <c r="I225" s="2">
        <v>33</v>
      </c>
      <c r="J225" s="2" t="s">
        <v>284</v>
      </c>
      <c r="K225" s="2" t="s">
        <v>308</v>
      </c>
      <c r="L225" s="2">
        <v>11</v>
      </c>
      <c r="M225" s="2" t="s">
        <v>251</v>
      </c>
      <c r="N225" s="2">
        <v>3</v>
      </c>
      <c r="O225" s="2" t="s">
        <v>313</v>
      </c>
      <c r="P225" s="2" t="s">
        <v>311</v>
      </c>
      <c r="Q225" s="2" t="s">
        <v>313</v>
      </c>
      <c r="R225" s="2" t="s">
        <v>312</v>
      </c>
      <c r="S225" s="2" t="s">
        <v>312</v>
      </c>
      <c r="T225" s="2" t="s">
        <v>311</v>
      </c>
      <c r="U225" s="2" t="s">
        <v>313</v>
      </c>
      <c r="V225" s="2" t="s">
        <v>316</v>
      </c>
      <c r="W225" s="2" t="s">
        <v>315</v>
      </c>
      <c r="X225" s="2" t="s">
        <v>320</v>
      </c>
      <c r="Y225" s="2" t="s">
        <v>316</v>
      </c>
      <c r="Z225" s="2" t="s">
        <v>311</v>
      </c>
      <c r="AA225" s="2" t="s">
        <v>321</v>
      </c>
      <c r="AB225" s="2" t="s">
        <v>324</v>
      </c>
      <c r="AC225" s="2" t="s">
        <v>383</v>
      </c>
      <c r="AD225" s="2" t="s">
        <v>483</v>
      </c>
    </row>
    <row r="226" spans="1:30" x14ac:dyDescent="0.3">
      <c r="A226" s="2" t="s">
        <v>30</v>
      </c>
      <c r="B226" s="2" t="s">
        <v>649</v>
      </c>
      <c r="C226" s="2" t="s">
        <v>174</v>
      </c>
      <c r="D226" s="2">
        <v>47</v>
      </c>
      <c r="E226" s="2" t="s">
        <v>232</v>
      </c>
      <c r="F226" s="2" t="s">
        <v>234</v>
      </c>
      <c r="G226" s="2" t="s">
        <v>240</v>
      </c>
      <c r="H226" s="2" t="s">
        <v>244</v>
      </c>
      <c r="I226" s="2">
        <v>4</v>
      </c>
      <c r="J226" s="2" t="s">
        <v>1063</v>
      </c>
      <c r="K226" s="2" t="s">
        <v>308</v>
      </c>
      <c r="L226" s="2">
        <v>18</v>
      </c>
      <c r="M226" s="2" t="s">
        <v>255</v>
      </c>
      <c r="N226" s="2">
        <v>3</v>
      </c>
      <c r="O226" s="2" t="s">
        <v>314</v>
      </c>
      <c r="P226" s="2" t="s">
        <v>312</v>
      </c>
      <c r="Q226" s="2" t="s">
        <v>312</v>
      </c>
      <c r="R226" s="2" t="s">
        <v>312</v>
      </c>
      <c r="S226" s="2" t="s">
        <v>312</v>
      </c>
      <c r="T226" s="2" t="s">
        <v>313</v>
      </c>
      <c r="U226" s="2" t="s">
        <v>313</v>
      </c>
      <c r="V226" s="2" t="s">
        <v>316</v>
      </c>
      <c r="W226" s="2" t="s">
        <v>315</v>
      </c>
      <c r="X226" s="2" t="s">
        <v>319</v>
      </c>
      <c r="Y226" s="2" t="s">
        <v>315</v>
      </c>
      <c r="Z226" s="2" t="s">
        <v>311</v>
      </c>
      <c r="AA226" s="2" t="s">
        <v>1095</v>
      </c>
      <c r="AB226" s="2" t="s">
        <v>325</v>
      </c>
      <c r="AC226" s="2" t="s">
        <v>1099</v>
      </c>
      <c r="AD226" s="2" t="s">
        <v>1105</v>
      </c>
    </row>
    <row r="227" spans="1:30" hidden="1" x14ac:dyDescent="0.3">
      <c r="A227" s="2" t="s">
        <v>30</v>
      </c>
      <c r="B227" s="2" t="s">
        <v>532</v>
      </c>
      <c r="C227" s="2" t="s">
        <v>723</v>
      </c>
      <c r="D227" s="2">
        <v>50</v>
      </c>
      <c r="E227" s="2" t="s">
        <v>231</v>
      </c>
      <c r="F227" s="2" t="s">
        <v>237</v>
      </c>
      <c r="G227" s="2" t="s">
        <v>240</v>
      </c>
      <c r="H227" s="2" t="s">
        <v>245</v>
      </c>
      <c r="I227" s="2">
        <v>19</v>
      </c>
      <c r="J227" s="2" t="s">
        <v>249</v>
      </c>
      <c r="K227" s="2" t="s">
        <v>310</v>
      </c>
      <c r="L227" s="2">
        <v>12</v>
      </c>
      <c r="M227" s="2" t="s">
        <v>262</v>
      </c>
      <c r="N227" s="2">
        <v>2</v>
      </c>
      <c r="O227" s="2" t="s">
        <v>314</v>
      </c>
      <c r="P227" s="2" t="s">
        <v>312</v>
      </c>
      <c r="Q227" s="2" t="s">
        <v>313</v>
      </c>
      <c r="R227" s="2" t="s">
        <v>313</v>
      </c>
      <c r="S227" s="2" t="s">
        <v>311</v>
      </c>
      <c r="T227" s="2" t="s">
        <v>313</v>
      </c>
      <c r="U227" s="2" t="s">
        <v>313</v>
      </c>
      <c r="V227" s="2" t="s">
        <v>316</v>
      </c>
      <c r="W227" s="2" t="s">
        <v>315</v>
      </c>
      <c r="X227" s="2" t="s">
        <v>319</v>
      </c>
      <c r="Y227" s="2" t="s">
        <v>316</v>
      </c>
      <c r="Z227" s="2" t="s">
        <v>311</v>
      </c>
      <c r="AA227" s="2" t="s">
        <v>1095</v>
      </c>
      <c r="AB227" s="2" t="s">
        <v>324</v>
      </c>
      <c r="AC227" s="2" t="s">
        <v>1100</v>
      </c>
      <c r="AD227" s="2" t="s">
        <v>1105</v>
      </c>
    </row>
    <row r="228" spans="1:30" hidden="1" x14ac:dyDescent="0.3">
      <c r="A228" s="2" t="s">
        <v>30</v>
      </c>
      <c r="B228" s="2" t="s">
        <v>542</v>
      </c>
      <c r="C228" s="2" t="s">
        <v>728</v>
      </c>
      <c r="D228" s="2">
        <v>52</v>
      </c>
      <c r="E228" s="2" t="s">
        <v>231</v>
      </c>
      <c r="F228" s="2" t="s">
        <v>233</v>
      </c>
      <c r="G228" s="2" t="s">
        <v>243</v>
      </c>
      <c r="H228" s="2" t="s">
        <v>246</v>
      </c>
      <c r="I228" s="2">
        <v>23</v>
      </c>
      <c r="J228" s="2" t="s">
        <v>960</v>
      </c>
      <c r="K228" s="2" t="s">
        <v>310</v>
      </c>
      <c r="L228" s="2">
        <v>7</v>
      </c>
      <c r="M228" s="2" t="s">
        <v>243</v>
      </c>
      <c r="N228" s="2">
        <v>3</v>
      </c>
      <c r="O228" s="2" t="s">
        <v>312</v>
      </c>
      <c r="P228" s="2" t="s">
        <v>314</v>
      </c>
      <c r="Q228" s="2" t="s">
        <v>314</v>
      </c>
      <c r="R228" s="2" t="s">
        <v>311</v>
      </c>
      <c r="S228" s="2" t="s">
        <v>312</v>
      </c>
      <c r="T228" s="2" t="s">
        <v>313</v>
      </c>
      <c r="U228" s="2" t="s">
        <v>313</v>
      </c>
      <c r="V228" s="2" t="s">
        <v>316</v>
      </c>
      <c r="W228" s="2" t="s">
        <v>315</v>
      </c>
      <c r="X228" s="2" t="s">
        <v>317</v>
      </c>
      <c r="Y228" s="2" t="s">
        <v>316</v>
      </c>
      <c r="Z228" s="2" t="s">
        <v>311</v>
      </c>
      <c r="AA228" s="2" t="s">
        <v>315</v>
      </c>
      <c r="AB228" s="2" t="s">
        <v>324</v>
      </c>
      <c r="AC228" s="2" t="s">
        <v>1099</v>
      </c>
      <c r="AD228" s="2" t="s">
        <v>1105</v>
      </c>
    </row>
    <row r="229" spans="1:30" hidden="1" x14ac:dyDescent="0.3">
      <c r="A229" s="2" t="s">
        <v>30</v>
      </c>
      <c r="B229" s="2" t="s">
        <v>565</v>
      </c>
      <c r="C229" s="2" t="s">
        <v>903</v>
      </c>
      <c r="D229" s="2">
        <v>54</v>
      </c>
      <c r="E229" s="2" t="s">
        <v>231</v>
      </c>
      <c r="F229" s="2" t="s">
        <v>235</v>
      </c>
      <c r="G229" s="2" t="s">
        <v>243</v>
      </c>
      <c r="H229" s="2" t="s">
        <v>245</v>
      </c>
      <c r="I229" s="2">
        <v>25</v>
      </c>
      <c r="J229" s="2" t="s">
        <v>1044</v>
      </c>
      <c r="K229" s="2" t="s">
        <v>308</v>
      </c>
      <c r="L229" s="2">
        <v>13</v>
      </c>
      <c r="M229" s="2" t="s">
        <v>262</v>
      </c>
      <c r="N229" s="2">
        <v>2</v>
      </c>
      <c r="O229" s="2" t="s">
        <v>313</v>
      </c>
      <c r="P229" s="2" t="s">
        <v>312</v>
      </c>
      <c r="Q229" s="2" t="s">
        <v>314</v>
      </c>
      <c r="R229" s="2" t="s">
        <v>311</v>
      </c>
      <c r="S229" s="2" t="s">
        <v>312</v>
      </c>
      <c r="T229" s="2" t="s">
        <v>313</v>
      </c>
      <c r="U229" s="2" t="s">
        <v>313</v>
      </c>
      <c r="V229" s="2" t="s">
        <v>316</v>
      </c>
      <c r="W229" s="2" t="s">
        <v>315</v>
      </c>
      <c r="X229" s="2" t="s">
        <v>319</v>
      </c>
      <c r="Y229" s="2" t="s">
        <v>316</v>
      </c>
      <c r="Z229" s="2" t="s">
        <v>311</v>
      </c>
      <c r="AA229" s="2" t="s">
        <v>315</v>
      </c>
      <c r="AB229" s="2" t="s">
        <v>325</v>
      </c>
      <c r="AC229" s="2" t="s">
        <v>1099</v>
      </c>
      <c r="AD229" s="2" t="s">
        <v>1105</v>
      </c>
    </row>
    <row r="230" spans="1:30" hidden="1" x14ac:dyDescent="0.3">
      <c r="A230" s="2" t="s">
        <v>30</v>
      </c>
      <c r="B230" s="2" t="s">
        <v>558</v>
      </c>
      <c r="C230" s="2" t="s">
        <v>905</v>
      </c>
      <c r="D230" s="2">
        <v>58</v>
      </c>
      <c r="E230" s="2" t="s">
        <v>231</v>
      </c>
      <c r="F230" s="2" t="s">
        <v>236</v>
      </c>
      <c r="G230" s="2" t="s">
        <v>241</v>
      </c>
      <c r="H230" s="2" t="s">
        <v>245</v>
      </c>
      <c r="I230" s="2">
        <v>11</v>
      </c>
      <c r="J230" s="2" t="s">
        <v>1020</v>
      </c>
      <c r="K230" s="2" t="s">
        <v>310</v>
      </c>
      <c r="L230" s="2">
        <v>4</v>
      </c>
      <c r="M230" s="2" t="s">
        <v>241</v>
      </c>
      <c r="N230" s="2">
        <v>3</v>
      </c>
      <c r="O230" s="2" t="s">
        <v>314</v>
      </c>
      <c r="P230" s="2" t="s">
        <v>311</v>
      </c>
      <c r="Q230" s="2" t="s">
        <v>311</v>
      </c>
      <c r="R230" s="2" t="s">
        <v>314</v>
      </c>
      <c r="S230" s="2" t="s">
        <v>311</v>
      </c>
      <c r="T230" s="2" t="s">
        <v>313</v>
      </c>
      <c r="U230" s="2" t="s">
        <v>313</v>
      </c>
      <c r="V230" s="2" t="s">
        <v>316</v>
      </c>
      <c r="W230" s="2" t="s">
        <v>315</v>
      </c>
      <c r="X230" s="2" t="s">
        <v>319</v>
      </c>
      <c r="Y230" s="2" t="s">
        <v>316</v>
      </c>
      <c r="Z230" s="2" t="s">
        <v>311</v>
      </c>
      <c r="AA230" s="2" t="s">
        <v>315</v>
      </c>
      <c r="AB230" s="2" t="s">
        <v>324</v>
      </c>
      <c r="AC230" s="2" t="s">
        <v>1102</v>
      </c>
      <c r="AD230" s="2" t="s">
        <v>1105</v>
      </c>
    </row>
    <row r="231" spans="1:30" x14ac:dyDescent="0.3">
      <c r="A231" s="2" t="s">
        <v>30</v>
      </c>
      <c r="B231" s="2" t="s">
        <v>528</v>
      </c>
      <c r="C231" s="2" t="s">
        <v>692</v>
      </c>
      <c r="D231" s="2">
        <v>59</v>
      </c>
      <c r="E231" s="2" t="s">
        <v>232</v>
      </c>
      <c r="F231" s="2" t="s">
        <v>237</v>
      </c>
      <c r="G231" s="2" t="s">
        <v>242</v>
      </c>
      <c r="H231" s="2" t="s">
        <v>245</v>
      </c>
      <c r="I231" s="2">
        <v>30</v>
      </c>
      <c r="J231" s="2" t="s">
        <v>1007</v>
      </c>
      <c r="K231" s="2" t="s">
        <v>308</v>
      </c>
      <c r="L231" s="2">
        <v>14</v>
      </c>
      <c r="M231" s="2" t="s">
        <v>255</v>
      </c>
      <c r="N231" s="2">
        <v>0</v>
      </c>
      <c r="O231" s="2" t="s">
        <v>313</v>
      </c>
      <c r="P231" s="2" t="s">
        <v>311</v>
      </c>
      <c r="Q231" s="2" t="s">
        <v>314</v>
      </c>
      <c r="R231" s="2" t="s">
        <v>313</v>
      </c>
      <c r="S231" s="2" t="s">
        <v>313</v>
      </c>
      <c r="T231" s="2" t="s">
        <v>311</v>
      </c>
      <c r="U231" s="2" t="s">
        <v>311</v>
      </c>
      <c r="V231" s="2" t="s">
        <v>316</v>
      </c>
      <c r="W231" s="2" t="s">
        <v>315</v>
      </c>
      <c r="X231" s="2" t="s">
        <v>317</v>
      </c>
      <c r="Y231" s="2" t="s">
        <v>315</v>
      </c>
      <c r="Z231" s="2" t="s">
        <v>311</v>
      </c>
      <c r="AA231" s="2" t="s">
        <v>315</v>
      </c>
      <c r="AB231" s="2" t="s">
        <v>323</v>
      </c>
      <c r="AC231" s="2" t="s">
        <v>1097</v>
      </c>
      <c r="AD231" s="2" t="s">
        <v>1105</v>
      </c>
    </row>
    <row r="232" spans="1:30" hidden="1" x14ac:dyDescent="0.3">
      <c r="A232" s="2" t="s">
        <v>30</v>
      </c>
      <c r="B232" s="2" t="s">
        <v>565</v>
      </c>
      <c r="C232" s="2" t="s">
        <v>717</v>
      </c>
      <c r="D232" s="2">
        <v>60</v>
      </c>
      <c r="E232" s="2" t="s">
        <v>231</v>
      </c>
      <c r="F232" s="2" t="s">
        <v>237</v>
      </c>
      <c r="G232" s="2" t="s">
        <v>238</v>
      </c>
      <c r="H232" s="2" t="s">
        <v>244</v>
      </c>
      <c r="I232" s="2">
        <v>24</v>
      </c>
      <c r="J232" s="2" t="s">
        <v>979</v>
      </c>
      <c r="K232" s="2" t="s">
        <v>309</v>
      </c>
      <c r="L232" s="2">
        <v>3</v>
      </c>
      <c r="M232" s="2" t="s">
        <v>255</v>
      </c>
      <c r="N232" s="2">
        <v>1</v>
      </c>
      <c r="O232" s="2" t="s">
        <v>313</v>
      </c>
      <c r="P232" s="2" t="s">
        <v>312</v>
      </c>
      <c r="Q232" s="2" t="s">
        <v>314</v>
      </c>
      <c r="R232" s="2" t="s">
        <v>313</v>
      </c>
      <c r="S232" s="2" t="s">
        <v>314</v>
      </c>
      <c r="T232" s="2" t="s">
        <v>311</v>
      </c>
      <c r="U232" s="2" t="s">
        <v>311</v>
      </c>
      <c r="V232" s="2" t="s">
        <v>316</v>
      </c>
      <c r="W232" s="2" t="s">
        <v>315</v>
      </c>
      <c r="X232" s="2" t="s">
        <v>318</v>
      </c>
      <c r="Y232" s="2" t="s">
        <v>315</v>
      </c>
      <c r="Z232" s="2" t="s">
        <v>311</v>
      </c>
      <c r="AA232" s="2" t="s">
        <v>316</v>
      </c>
      <c r="AB232" s="2" t="s">
        <v>326</v>
      </c>
      <c r="AC232" s="2" t="s">
        <v>1097</v>
      </c>
      <c r="AD232" s="2" t="s">
        <v>1105</v>
      </c>
    </row>
    <row r="233" spans="1:30" hidden="1" x14ac:dyDescent="0.3">
      <c r="A233" s="2" t="s">
        <v>30</v>
      </c>
      <c r="B233" s="2" t="s">
        <v>621</v>
      </c>
      <c r="C233" s="2" t="s">
        <v>227</v>
      </c>
      <c r="D233" s="2">
        <v>60</v>
      </c>
      <c r="E233" s="2" t="s">
        <v>231</v>
      </c>
      <c r="F233" s="2" t="s">
        <v>237</v>
      </c>
      <c r="G233" s="2" t="s">
        <v>239</v>
      </c>
      <c r="H233" s="2" t="s">
        <v>245</v>
      </c>
      <c r="I233" s="2">
        <v>25</v>
      </c>
      <c r="J233" s="2" t="s">
        <v>1088</v>
      </c>
      <c r="K233" s="2" t="s">
        <v>308</v>
      </c>
      <c r="L233" s="2">
        <v>12</v>
      </c>
      <c r="M233" s="2" t="s">
        <v>251</v>
      </c>
      <c r="N233" s="2">
        <v>3</v>
      </c>
      <c r="O233" s="2" t="s">
        <v>311</v>
      </c>
      <c r="P233" s="2" t="s">
        <v>314</v>
      </c>
      <c r="Q233" s="2" t="s">
        <v>313</v>
      </c>
      <c r="R233" s="2" t="s">
        <v>311</v>
      </c>
      <c r="S233" s="2" t="s">
        <v>314</v>
      </c>
      <c r="T233" s="2" t="s">
        <v>314</v>
      </c>
      <c r="U233" s="2" t="s">
        <v>314</v>
      </c>
      <c r="V233" s="2" t="s">
        <v>316</v>
      </c>
      <c r="W233" s="2" t="s">
        <v>315</v>
      </c>
      <c r="X233" s="2" t="s">
        <v>317</v>
      </c>
      <c r="Y233" s="2" t="s">
        <v>316</v>
      </c>
      <c r="Z233" s="2" t="s">
        <v>311</v>
      </c>
      <c r="AA233" s="2" t="s">
        <v>316</v>
      </c>
      <c r="AB233" s="2" t="s">
        <v>325</v>
      </c>
      <c r="AC233" s="2" t="s">
        <v>1097</v>
      </c>
      <c r="AD233" s="2" t="s">
        <v>1105</v>
      </c>
    </row>
    <row r="234" spans="1:30" hidden="1" x14ac:dyDescent="0.3">
      <c r="A234" s="2" t="s">
        <v>30</v>
      </c>
      <c r="B234" s="2" t="s">
        <v>589</v>
      </c>
      <c r="C234" s="2" t="s">
        <v>760</v>
      </c>
      <c r="D234" s="2">
        <v>26</v>
      </c>
      <c r="E234" s="2" t="s">
        <v>231</v>
      </c>
      <c r="F234" s="2" t="s">
        <v>237</v>
      </c>
      <c r="G234" s="2" t="s">
        <v>240</v>
      </c>
      <c r="H234" s="2" t="s">
        <v>245</v>
      </c>
      <c r="I234" s="2">
        <v>23</v>
      </c>
      <c r="J234" s="2" t="s">
        <v>301</v>
      </c>
      <c r="K234" s="2" t="s">
        <v>309</v>
      </c>
      <c r="L234" s="2">
        <v>6</v>
      </c>
      <c r="M234" s="2" t="s">
        <v>249</v>
      </c>
      <c r="N234" s="2">
        <v>1</v>
      </c>
      <c r="O234" s="2" t="s">
        <v>313</v>
      </c>
      <c r="P234" s="2" t="s">
        <v>311</v>
      </c>
      <c r="Q234" s="2" t="s">
        <v>311</v>
      </c>
      <c r="R234" s="2" t="s">
        <v>314</v>
      </c>
      <c r="S234" s="2" t="s">
        <v>312</v>
      </c>
      <c r="T234" s="2" t="s">
        <v>311</v>
      </c>
      <c r="U234" s="2" t="s">
        <v>311</v>
      </c>
      <c r="V234" s="2" t="s">
        <v>316</v>
      </c>
      <c r="W234" s="2" t="s">
        <v>315</v>
      </c>
      <c r="X234" s="2" t="s">
        <v>319</v>
      </c>
      <c r="Y234" s="2" t="s">
        <v>315</v>
      </c>
      <c r="Z234" s="2" t="s">
        <v>312</v>
      </c>
      <c r="AA234" s="2" t="s">
        <v>321</v>
      </c>
      <c r="AB234" s="2" t="s">
        <v>323</v>
      </c>
      <c r="AC234" s="2" t="s">
        <v>1100</v>
      </c>
      <c r="AD234" s="2" t="s">
        <v>1105</v>
      </c>
    </row>
    <row r="235" spans="1:30" x14ac:dyDescent="0.3">
      <c r="A235" s="2" t="s">
        <v>30</v>
      </c>
      <c r="B235" s="2" t="s">
        <v>650</v>
      </c>
      <c r="C235" s="2" t="s">
        <v>818</v>
      </c>
      <c r="D235" s="2">
        <v>27</v>
      </c>
      <c r="E235" s="2" t="s">
        <v>232</v>
      </c>
      <c r="F235" s="2" t="s">
        <v>236</v>
      </c>
      <c r="G235" s="2" t="s">
        <v>239</v>
      </c>
      <c r="H235" s="2" t="s">
        <v>246</v>
      </c>
      <c r="I235" s="2">
        <v>1</v>
      </c>
      <c r="J235" s="2" t="s">
        <v>1065</v>
      </c>
      <c r="K235" s="2" t="s">
        <v>308</v>
      </c>
      <c r="L235" s="2">
        <v>6</v>
      </c>
      <c r="M235" s="2" t="s">
        <v>243</v>
      </c>
      <c r="N235" s="2">
        <v>3</v>
      </c>
      <c r="O235" s="2" t="s">
        <v>313</v>
      </c>
      <c r="P235" s="2" t="s">
        <v>314</v>
      </c>
      <c r="Q235" s="2" t="s">
        <v>311</v>
      </c>
      <c r="R235" s="2" t="s">
        <v>313</v>
      </c>
      <c r="S235" s="2" t="s">
        <v>311</v>
      </c>
      <c r="T235" s="2" t="s">
        <v>314</v>
      </c>
      <c r="U235" s="2" t="s">
        <v>314</v>
      </c>
      <c r="V235" s="2" t="s">
        <v>316</v>
      </c>
      <c r="W235" s="2" t="s">
        <v>315</v>
      </c>
      <c r="X235" s="2" t="s">
        <v>318</v>
      </c>
      <c r="Y235" s="2" t="s">
        <v>316</v>
      </c>
      <c r="Z235" s="2" t="s">
        <v>312</v>
      </c>
      <c r="AA235" s="2" t="s">
        <v>321</v>
      </c>
      <c r="AB235" s="2" t="s">
        <v>326</v>
      </c>
      <c r="AC235" s="2" t="s">
        <v>1101</v>
      </c>
      <c r="AD235" s="2" t="s">
        <v>1105</v>
      </c>
    </row>
    <row r="236" spans="1:30" hidden="1" x14ac:dyDescent="0.3">
      <c r="A236" s="2" t="s">
        <v>30</v>
      </c>
      <c r="B236" s="2" t="s">
        <v>645</v>
      </c>
      <c r="C236" s="2" t="s">
        <v>748</v>
      </c>
      <c r="D236" s="2">
        <v>29</v>
      </c>
      <c r="E236" s="2" t="s">
        <v>231</v>
      </c>
      <c r="F236" s="2" t="s">
        <v>237</v>
      </c>
      <c r="G236" s="2" t="s">
        <v>238</v>
      </c>
      <c r="H236" s="2" t="s">
        <v>246</v>
      </c>
      <c r="I236" s="2">
        <v>17</v>
      </c>
      <c r="J236" s="2" t="s">
        <v>1085</v>
      </c>
      <c r="K236" s="2" t="s">
        <v>310</v>
      </c>
      <c r="L236" s="2">
        <v>9</v>
      </c>
      <c r="M236" s="2" t="s">
        <v>251</v>
      </c>
      <c r="N236" s="2">
        <v>1</v>
      </c>
      <c r="O236" s="2" t="s">
        <v>314</v>
      </c>
      <c r="P236" s="2" t="s">
        <v>314</v>
      </c>
      <c r="Q236" s="2" t="s">
        <v>313</v>
      </c>
      <c r="R236" s="2" t="s">
        <v>314</v>
      </c>
      <c r="S236" s="2" t="s">
        <v>314</v>
      </c>
      <c r="T236" s="2" t="s">
        <v>312</v>
      </c>
      <c r="U236" s="2" t="s">
        <v>312</v>
      </c>
      <c r="V236" s="2" t="s">
        <v>316</v>
      </c>
      <c r="W236" s="2" t="s">
        <v>315</v>
      </c>
      <c r="X236" s="2" t="s">
        <v>317</v>
      </c>
      <c r="Y236" s="2" t="s">
        <v>316</v>
      </c>
      <c r="Z236" s="2" t="s">
        <v>312</v>
      </c>
      <c r="AA236" s="2" t="s">
        <v>1095</v>
      </c>
      <c r="AB236" s="2" t="s">
        <v>324</v>
      </c>
      <c r="AC236" s="2" t="s">
        <v>1101</v>
      </c>
      <c r="AD236" s="2" t="s">
        <v>1105</v>
      </c>
    </row>
    <row r="237" spans="1:30" x14ac:dyDescent="0.3">
      <c r="A237" s="1">
        <v>45802.170439814807</v>
      </c>
      <c r="B237" s="2" t="s">
        <v>84</v>
      </c>
      <c r="C237" s="2" t="s">
        <v>138</v>
      </c>
      <c r="D237" s="2">
        <v>30</v>
      </c>
      <c r="E237" s="2" t="s">
        <v>232</v>
      </c>
      <c r="F237" s="2" t="s">
        <v>237</v>
      </c>
      <c r="G237" s="2" t="s">
        <v>240</v>
      </c>
      <c r="H237" s="2" t="s">
        <v>246</v>
      </c>
      <c r="I237" s="2">
        <v>22</v>
      </c>
      <c r="J237" s="2" t="s">
        <v>249</v>
      </c>
      <c r="K237" s="2" t="s">
        <v>310</v>
      </c>
      <c r="L237" s="2">
        <v>16</v>
      </c>
      <c r="M237" s="2" t="s">
        <v>241</v>
      </c>
      <c r="N237" s="2">
        <v>0</v>
      </c>
      <c r="O237" s="2" t="s">
        <v>313</v>
      </c>
      <c r="P237" s="2" t="s">
        <v>311</v>
      </c>
      <c r="Q237" s="2" t="s">
        <v>313</v>
      </c>
      <c r="R237" s="2" t="s">
        <v>313</v>
      </c>
      <c r="S237" s="2" t="s">
        <v>312</v>
      </c>
      <c r="T237" s="2" t="s">
        <v>312</v>
      </c>
      <c r="U237" s="2" t="s">
        <v>313</v>
      </c>
      <c r="V237" s="2" t="s">
        <v>316</v>
      </c>
      <c r="W237" s="2" t="s">
        <v>315</v>
      </c>
      <c r="X237" s="2" t="s">
        <v>318</v>
      </c>
      <c r="Y237" s="2" t="s">
        <v>315</v>
      </c>
      <c r="Z237" s="2" t="s">
        <v>312</v>
      </c>
      <c r="AA237" s="2" t="s">
        <v>321</v>
      </c>
      <c r="AB237" s="2" t="s">
        <v>326</v>
      </c>
      <c r="AC237" s="2" t="s">
        <v>380</v>
      </c>
      <c r="AD237" s="2" t="s">
        <v>480</v>
      </c>
    </row>
    <row r="238" spans="1:30" x14ac:dyDescent="0.3">
      <c r="A238" s="1">
        <v>45686.477777777778</v>
      </c>
      <c r="B238" s="2" t="s">
        <v>44</v>
      </c>
      <c r="C238" s="2" t="s">
        <v>888</v>
      </c>
      <c r="D238" s="2">
        <v>31</v>
      </c>
      <c r="E238" s="2" t="s">
        <v>232</v>
      </c>
      <c r="F238" s="2" t="s">
        <v>237</v>
      </c>
      <c r="G238" s="2" t="s">
        <v>240</v>
      </c>
      <c r="H238" s="2" t="s">
        <v>246</v>
      </c>
      <c r="I238" s="2">
        <v>10</v>
      </c>
      <c r="J238" s="2" t="s">
        <v>255</v>
      </c>
      <c r="K238" s="2" t="s">
        <v>308</v>
      </c>
      <c r="L238" s="2">
        <v>5</v>
      </c>
      <c r="M238" s="2" t="s">
        <v>262</v>
      </c>
      <c r="N238" s="2">
        <v>3</v>
      </c>
      <c r="O238" s="2" t="s">
        <v>312</v>
      </c>
      <c r="P238" s="2" t="s">
        <v>313</v>
      </c>
      <c r="Q238" s="2" t="s">
        <v>314</v>
      </c>
      <c r="R238" s="2" t="s">
        <v>312</v>
      </c>
      <c r="S238" s="2" t="s">
        <v>313</v>
      </c>
      <c r="T238" s="2" t="s">
        <v>312</v>
      </c>
      <c r="U238" s="2" t="s">
        <v>311</v>
      </c>
      <c r="V238" s="2" t="s">
        <v>316</v>
      </c>
      <c r="W238" s="2" t="s">
        <v>315</v>
      </c>
      <c r="X238" s="2" t="s">
        <v>320</v>
      </c>
      <c r="Y238" s="2" t="s">
        <v>315</v>
      </c>
      <c r="Z238" s="2" t="s">
        <v>312</v>
      </c>
      <c r="AA238" s="2" t="s">
        <v>322</v>
      </c>
      <c r="AB238" s="2" t="s">
        <v>326</v>
      </c>
      <c r="AC238" s="2" t="s">
        <v>340</v>
      </c>
      <c r="AD238" s="2" t="s">
        <v>440</v>
      </c>
    </row>
    <row r="239" spans="1:30" hidden="1" x14ac:dyDescent="0.3">
      <c r="A239" s="2" t="s">
        <v>30</v>
      </c>
      <c r="B239" s="2" t="s">
        <v>539</v>
      </c>
      <c r="C239" s="2" t="s">
        <v>929</v>
      </c>
      <c r="D239" s="2">
        <v>31</v>
      </c>
      <c r="E239" s="2" t="s">
        <v>231</v>
      </c>
      <c r="F239" s="2" t="s">
        <v>235</v>
      </c>
      <c r="G239" s="2" t="s">
        <v>240</v>
      </c>
      <c r="H239" s="2" t="s">
        <v>246</v>
      </c>
      <c r="I239" s="2">
        <v>28</v>
      </c>
      <c r="J239" s="2" t="s">
        <v>958</v>
      </c>
      <c r="K239" s="2" t="s">
        <v>309</v>
      </c>
      <c r="L239" s="2">
        <v>10</v>
      </c>
      <c r="M239" s="2" t="s">
        <v>249</v>
      </c>
      <c r="N239" s="2">
        <v>1</v>
      </c>
      <c r="O239" s="2" t="s">
        <v>311</v>
      </c>
      <c r="P239" s="2" t="s">
        <v>313</v>
      </c>
      <c r="Q239" s="2" t="s">
        <v>311</v>
      </c>
      <c r="R239" s="2" t="s">
        <v>311</v>
      </c>
      <c r="S239" s="2" t="s">
        <v>312</v>
      </c>
      <c r="T239" s="2" t="s">
        <v>313</v>
      </c>
      <c r="U239" s="2" t="s">
        <v>313</v>
      </c>
      <c r="V239" s="2" t="s">
        <v>316</v>
      </c>
      <c r="W239" s="2" t="s">
        <v>315</v>
      </c>
      <c r="X239" s="2" t="s">
        <v>320</v>
      </c>
      <c r="Y239" s="2" t="s">
        <v>316</v>
      </c>
      <c r="Z239" s="2" t="s">
        <v>312</v>
      </c>
      <c r="AA239" s="2" t="s">
        <v>316</v>
      </c>
      <c r="AB239" s="2" t="s">
        <v>326</v>
      </c>
      <c r="AC239" s="2" t="s">
        <v>1097</v>
      </c>
      <c r="AD239" s="2" t="s">
        <v>1105</v>
      </c>
    </row>
    <row r="240" spans="1:30" x14ac:dyDescent="0.3">
      <c r="A240" s="1">
        <v>45675.223668981482</v>
      </c>
      <c r="B240" s="2" t="s">
        <v>63</v>
      </c>
      <c r="C240" s="2" t="s">
        <v>690</v>
      </c>
      <c r="D240" s="2">
        <v>35</v>
      </c>
      <c r="E240" s="2" t="s">
        <v>232</v>
      </c>
      <c r="F240" s="2" t="s">
        <v>237</v>
      </c>
      <c r="G240" s="2" t="s">
        <v>242</v>
      </c>
      <c r="H240" s="2" t="s">
        <v>246</v>
      </c>
      <c r="I240" s="2">
        <v>27</v>
      </c>
      <c r="J240" s="2" t="s">
        <v>251</v>
      </c>
      <c r="K240" s="2" t="s">
        <v>308</v>
      </c>
      <c r="L240" s="2">
        <v>14</v>
      </c>
      <c r="M240" s="2" t="s">
        <v>241</v>
      </c>
      <c r="N240" s="2">
        <v>2</v>
      </c>
      <c r="O240" s="2" t="s">
        <v>314</v>
      </c>
      <c r="P240" s="2" t="s">
        <v>313</v>
      </c>
      <c r="Q240" s="2" t="s">
        <v>313</v>
      </c>
      <c r="R240" s="2" t="s">
        <v>314</v>
      </c>
      <c r="S240" s="2" t="s">
        <v>314</v>
      </c>
      <c r="T240" s="2" t="s">
        <v>314</v>
      </c>
      <c r="U240" s="2" t="s">
        <v>312</v>
      </c>
      <c r="V240" s="2" t="s">
        <v>316</v>
      </c>
      <c r="W240" s="2" t="s">
        <v>315</v>
      </c>
      <c r="X240" s="2" t="s">
        <v>320</v>
      </c>
      <c r="Y240" s="2" t="s">
        <v>315</v>
      </c>
      <c r="Z240" s="2" t="s">
        <v>312</v>
      </c>
      <c r="AA240" s="2" t="s">
        <v>321</v>
      </c>
      <c r="AB240" s="2" t="s">
        <v>326</v>
      </c>
      <c r="AC240" s="2" t="s">
        <v>359</v>
      </c>
      <c r="AD240" s="2" t="s">
        <v>459</v>
      </c>
    </row>
    <row r="241" spans="1:30" x14ac:dyDescent="0.3">
      <c r="A241" s="2" t="s">
        <v>30</v>
      </c>
      <c r="B241" s="2" t="s">
        <v>537</v>
      </c>
      <c r="C241" s="2" t="s">
        <v>880</v>
      </c>
      <c r="D241" s="2">
        <v>35</v>
      </c>
      <c r="E241" s="2" t="s">
        <v>232</v>
      </c>
      <c r="F241" s="2" t="s">
        <v>233</v>
      </c>
      <c r="G241" s="2" t="s">
        <v>243</v>
      </c>
      <c r="H241" s="2" t="s">
        <v>244</v>
      </c>
      <c r="I241" s="2">
        <v>26</v>
      </c>
      <c r="J241" s="2" t="s">
        <v>956</v>
      </c>
      <c r="K241" s="2" t="s">
        <v>309</v>
      </c>
      <c r="L241" s="2">
        <v>13</v>
      </c>
      <c r="M241" s="2" t="s">
        <v>275</v>
      </c>
      <c r="N241" s="2">
        <v>1</v>
      </c>
      <c r="O241" s="2" t="s">
        <v>314</v>
      </c>
      <c r="P241" s="2" t="s">
        <v>313</v>
      </c>
      <c r="Q241" s="2" t="s">
        <v>312</v>
      </c>
      <c r="R241" s="2" t="s">
        <v>314</v>
      </c>
      <c r="S241" s="2" t="s">
        <v>314</v>
      </c>
      <c r="T241" s="2" t="s">
        <v>314</v>
      </c>
      <c r="U241" s="2" t="s">
        <v>314</v>
      </c>
      <c r="V241" s="2" t="s">
        <v>316</v>
      </c>
      <c r="W241" s="2" t="s">
        <v>315</v>
      </c>
      <c r="X241" s="2" t="s">
        <v>317</v>
      </c>
      <c r="Y241" s="2" t="s">
        <v>315</v>
      </c>
      <c r="Z241" s="2" t="s">
        <v>312</v>
      </c>
      <c r="AA241" s="2" t="s">
        <v>1095</v>
      </c>
      <c r="AB241" s="2" t="s">
        <v>326</v>
      </c>
      <c r="AC241" s="2" t="s">
        <v>1101</v>
      </c>
      <c r="AD241" s="2" t="s">
        <v>1105</v>
      </c>
    </row>
    <row r="242" spans="1:30" hidden="1" x14ac:dyDescent="0.3">
      <c r="A242" s="2" t="s">
        <v>30</v>
      </c>
      <c r="B242" s="2" t="s">
        <v>567</v>
      </c>
      <c r="C242" s="2" t="s">
        <v>868</v>
      </c>
      <c r="D242" s="2">
        <v>35</v>
      </c>
      <c r="E242" s="2" t="s">
        <v>231</v>
      </c>
      <c r="F242" s="2" t="s">
        <v>233</v>
      </c>
      <c r="G242" s="2" t="s">
        <v>242</v>
      </c>
      <c r="H242" s="2" t="s">
        <v>246</v>
      </c>
      <c r="I242" s="2">
        <v>1</v>
      </c>
      <c r="J242" s="2" t="s">
        <v>258</v>
      </c>
      <c r="K242" s="2" t="s">
        <v>308</v>
      </c>
      <c r="L242" s="2">
        <v>17</v>
      </c>
      <c r="M242" s="2" t="s">
        <v>262</v>
      </c>
      <c r="N242" s="2">
        <v>1</v>
      </c>
      <c r="O242" s="2" t="s">
        <v>311</v>
      </c>
      <c r="P242" s="2" t="s">
        <v>314</v>
      </c>
      <c r="Q242" s="2" t="s">
        <v>314</v>
      </c>
      <c r="R242" s="2" t="s">
        <v>313</v>
      </c>
      <c r="S242" s="2" t="s">
        <v>313</v>
      </c>
      <c r="T242" s="2" t="s">
        <v>314</v>
      </c>
      <c r="U242" s="2" t="s">
        <v>314</v>
      </c>
      <c r="V242" s="2" t="s">
        <v>316</v>
      </c>
      <c r="W242" s="2" t="s">
        <v>315</v>
      </c>
      <c r="X242" s="2" t="s">
        <v>318</v>
      </c>
      <c r="Y242" s="2" t="s">
        <v>316</v>
      </c>
      <c r="Z242" s="2" t="s">
        <v>312</v>
      </c>
      <c r="AA242" s="2" t="s">
        <v>315</v>
      </c>
      <c r="AB242" s="2" t="s">
        <v>323</v>
      </c>
      <c r="AC242" s="2" t="s">
        <v>1096</v>
      </c>
      <c r="AD242" s="2" t="s">
        <v>1105</v>
      </c>
    </row>
    <row r="243" spans="1:30" x14ac:dyDescent="0.3">
      <c r="A243" s="2" t="s">
        <v>30</v>
      </c>
      <c r="B243" s="2" t="s">
        <v>599</v>
      </c>
      <c r="C243" s="2" t="s">
        <v>917</v>
      </c>
      <c r="D243" s="2">
        <v>35</v>
      </c>
      <c r="E243" s="2" t="s">
        <v>232</v>
      </c>
      <c r="F243" s="2" t="s">
        <v>235</v>
      </c>
      <c r="G243" s="2" t="s">
        <v>242</v>
      </c>
      <c r="H243" s="2" t="s">
        <v>246</v>
      </c>
      <c r="I243" s="2">
        <v>25</v>
      </c>
      <c r="J243" s="2" t="s">
        <v>1093</v>
      </c>
      <c r="K243" s="2" t="s">
        <v>308</v>
      </c>
      <c r="L243" s="2">
        <v>17</v>
      </c>
      <c r="M243" s="2" t="s">
        <v>275</v>
      </c>
      <c r="N243" s="2">
        <v>1</v>
      </c>
      <c r="O243" s="2" t="s">
        <v>312</v>
      </c>
      <c r="P243" s="2" t="s">
        <v>313</v>
      </c>
      <c r="Q243" s="2" t="s">
        <v>312</v>
      </c>
      <c r="R243" s="2" t="s">
        <v>313</v>
      </c>
      <c r="S243" s="2" t="s">
        <v>312</v>
      </c>
      <c r="T243" s="2" t="s">
        <v>313</v>
      </c>
      <c r="U243" s="2" t="s">
        <v>313</v>
      </c>
      <c r="V243" s="2" t="s">
        <v>316</v>
      </c>
      <c r="W243" s="2" t="s">
        <v>315</v>
      </c>
      <c r="X243" s="2" t="s">
        <v>317</v>
      </c>
      <c r="Y243" s="2" t="s">
        <v>315</v>
      </c>
      <c r="Z243" s="2" t="s">
        <v>312</v>
      </c>
      <c r="AA243" s="2" t="s">
        <v>316</v>
      </c>
      <c r="AB243" s="2" t="s">
        <v>323</v>
      </c>
      <c r="AC243" s="2" t="s">
        <v>1099</v>
      </c>
      <c r="AD243" s="2" t="s">
        <v>1105</v>
      </c>
    </row>
    <row r="244" spans="1:30" hidden="1" x14ac:dyDescent="0.3">
      <c r="A244" s="1">
        <v>45661.601967592593</v>
      </c>
      <c r="B244" s="2" t="s">
        <v>77</v>
      </c>
      <c r="C244" s="2" t="s">
        <v>675</v>
      </c>
      <c r="D244" s="2">
        <v>36</v>
      </c>
      <c r="E244" s="2" t="s">
        <v>231</v>
      </c>
      <c r="F244" s="2" t="s">
        <v>237</v>
      </c>
      <c r="G244" s="2" t="s">
        <v>243</v>
      </c>
      <c r="H244" s="2" t="s">
        <v>245</v>
      </c>
      <c r="I244" s="2">
        <v>5</v>
      </c>
      <c r="J244" s="2" t="s">
        <v>249</v>
      </c>
      <c r="K244" s="2" t="s">
        <v>310</v>
      </c>
      <c r="L244" s="2">
        <v>0</v>
      </c>
      <c r="M244" s="2" t="s">
        <v>241</v>
      </c>
      <c r="N244" s="2">
        <v>2</v>
      </c>
      <c r="O244" s="2" t="s">
        <v>314</v>
      </c>
      <c r="P244" s="2" t="s">
        <v>314</v>
      </c>
      <c r="Q244" s="2" t="s">
        <v>314</v>
      </c>
      <c r="R244" s="2" t="s">
        <v>313</v>
      </c>
      <c r="S244" s="2" t="s">
        <v>312</v>
      </c>
      <c r="T244" s="2" t="s">
        <v>313</v>
      </c>
      <c r="U244" s="2" t="s">
        <v>313</v>
      </c>
      <c r="V244" s="2" t="s">
        <v>316</v>
      </c>
      <c r="W244" s="2" t="s">
        <v>315</v>
      </c>
      <c r="X244" s="2" t="s">
        <v>319</v>
      </c>
      <c r="Y244" s="2" t="s">
        <v>315</v>
      </c>
      <c r="Z244" s="2" t="s">
        <v>312</v>
      </c>
      <c r="AA244" s="2" t="s">
        <v>316</v>
      </c>
      <c r="AB244" s="2" t="s">
        <v>324</v>
      </c>
      <c r="AC244" s="2" t="s">
        <v>373</v>
      </c>
      <c r="AD244" s="2" t="s">
        <v>473</v>
      </c>
    </row>
    <row r="245" spans="1:30" hidden="1" x14ac:dyDescent="0.3">
      <c r="A245" s="2" t="s">
        <v>30</v>
      </c>
      <c r="B245" s="2" t="s">
        <v>600</v>
      </c>
      <c r="C245" s="2" t="s">
        <v>213</v>
      </c>
      <c r="D245" s="2">
        <v>36</v>
      </c>
      <c r="E245" s="2" t="s">
        <v>231</v>
      </c>
      <c r="F245" s="2" t="s">
        <v>237</v>
      </c>
      <c r="G245" s="2" t="s">
        <v>241</v>
      </c>
      <c r="H245" s="2" t="s">
        <v>245</v>
      </c>
      <c r="I245" s="2">
        <v>11</v>
      </c>
      <c r="J245" s="2" t="s">
        <v>986</v>
      </c>
      <c r="K245" s="2" t="s">
        <v>309</v>
      </c>
      <c r="L245" s="2">
        <v>10</v>
      </c>
      <c r="M245" s="2" t="s">
        <v>251</v>
      </c>
      <c r="N245" s="2">
        <v>2</v>
      </c>
      <c r="O245" s="2" t="s">
        <v>311</v>
      </c>
      <c r="P245" s="2" t="s">
        <v>313</v>
      </c>
      <c r="Q245" s="2" t="s">
        <v>314</v>
      </c>
      <c r="R245" s="2" t="s">
        <v>312</v>
      </c>
      <c r="S245" s="2" t="s">
        <v>311</v>
      </c>
      <c r="T245" s="2" t="s">
        <v>313</v>
      </c>
      <c r="U245" s="2" t="s">
        <v>313</v>
      </c>
      <c r="V245" s="2" t="s">
        <v>316</v>
      </c>
      <c r="W245" s="2" t="s">
        <v>315</v>
      </c>
      <c r="X245" s="2" t="s">
        <v>319</v>
      </c>
      <c r="Y245" s="2" t="s">
        <v>316</v>
      </c>
      <c r="Z245" s="2" t="s">
        <v>312</v>
      </c>
      <c r="AA245" s="2" t="s">
        <v>1095</v>
      </c>
      <c r="AB245" s="2" t="s">
        <v>324</v>
      </c>
      <c r="AC245" s="2" t="s">
        <v>1103</v>
      </c>
      <c r="AD245" s="2" t="s">
        <v>1105</v>
      </c>
    </row>
    <row r="246" spans="1:30" x14ac:dyDescent="0.3">
      <c r="A246" s="2" t="s">
        <v>30</v>
      </c>
      <c r="B246" s="2" t="s">
        <v>603</v>
      </c>
      <c r="C246" s="2" t="s">
        <v>737</v>
      </c>
      <c r="D246" s="2">
        <v>37</v>
      </c>
      <c r="E246" s="2" t="s">
        <v>232</v>
      </c>
      <c r="F246" s="2" t="s">
        <v>237</v>
      </c>
      <c r="G246" s="2" t="s">
        <v>243</v>
      </c>
      <c r="H246" s="2" t="s">
        <v>244</v>
      </c>
      <c r="I246" s="2">
        <v>19</v>
      </c>
      <c r="J246" s="2" t="s">
        <v>1045</v>
      </c>
      <c r="K246" s="2" t="s">
        <v>310</v>
      </c>
      <c r="L246" s="2">
        <v>2</v>
      </c>
      <c r="M246" s="2" t="s">
        <v>243</v>
      </c>
      <c r="N246" s="2">
        <v>3</v>
      </c>
      <c r="O246" s="2" t="s">
        <v>311</v>
      </c>
      <c r="P246" s="2" t="s">
        <v>313</v>
      </c>
      <c r="Q246" s="2" t="s">
        <v>312</v>
      </c>
      <c r="R246" s="2" t="s">
        <v>311</v>
      </c>
      <c r="S246" s="2" t="s">
        <v>312</v>
      </c>
      <c r="T246" s="2" t="s">
        <v>311</v>
      </c>
      <c r="U246" s="2" t="s">
        <v>311</v>
      </c>
      <c r="V246" s="2" t="s">
        <v>316</v>
      </c>
      <c r="W246" s="2" t="s">
        <v>315</v>
      </c>
      <c r="X246" s="2" t="s">
        <v>317</v>
      </c>
      <c r="Y246" s="2" t="s">
        <v>315</v>
      </c>
      <c r="Z246" s="2" t="s">
        <v>312</v>
      </c>
      <c r="AA246" s="2" t="s">
        <v>1095</v>
      </c>
      <c r="AB246" s="2" t="s">
        <v>326</v>
      </c>
      <c r="AC246" s="2" t="s">
        <v>1101</v>
      </c>
      <c r="AD246" s="2" t="s">
        <v>1105</v>
      </c>
    </row>
    <row r="247" spans="1:30" hidden="1" x14ac:dyDescent="0.3">
      <c r="A247" s="1">
        <v>45765.917916666673</v>
      </c>
      <c r="B247" s="2" t="s">
        <v>104</v>
      </c>
      <c r="C247" s="2" t="s">
        <v>838</v>
      </c>
      <c r="D247" s="2">
        <v>38</v>
      </c>
      <c r="E247" s="2" t="s">
        <v>231</v>
      </c>
      <c r="F247" s="2" t="s">
        <v>237</v>
      </c>
      <c r="G247" s="2" t="s">
        <v>239</v>
      </c>
      <c r="H247" s="2" t="s">
        <v>246</v>
      </c>
      <c r="I247" s="2">
        <v>18</v>
      </c>
      <c r="J247" s="2" t="s">
        <v>241</v>
      </c>
      <c r="K247" s="2" t="s">
        <v>310</v>
      </c>
      <c r="L247" s="2">
        <v>18</v>
      </c>
      <c r="M247" s="2" t="s">
        <v>251</v>
      </c>
      <c r="N247" s="2">
        <v>2</v>
      </c>
      <c r="O247" s="2" t="s">
        <v>311</v>
      </c>
      <c r="P247" s="2" t="s">
        <v>312</v>
      </c>
      <c r="Q247" s="2" t="s">
        <v>312</v>
      </c>
      <c r="R247" s="2" t="s">
        <v>311</v>
      </c>
      <c r="S247" s="2" t="s">
        <v>311</v>
      </c>
      <c r="T247" s="2" t="s">
        <v>314</v>
      </c>
      <c r="U247" s="2" t="s">
        <v>313</v>
      </c>
      <c r="V247" s="2" t="s">
        <v>316</v>
      </c>
      <c r="W247" s="2" t="s">
        <v>315</v>
      </c>
      <c r="X247" s="2" t="s">
        <v>318</v>
      </c>
      <c r="Y247" s="2" t="s">
        <v>315</v>
      </c>
      <c r="Z247" s="2" t="s">
        <v>312</v>
      </c>
      <c r="AA247" s="2" t="s">
        <v>322</v>
      </c>
      <c r="AB247" s="2" t="s">
        <v>323</v>
      </c>
      <c r="AC247" s="2" t="s">
        <v>400</v>
      </c>
      <c r="AD247" s="2" t="s">
        <v>500</v>
      </c>
    </row>
    <row r="248" spans="1:30" hidden="1" x14ac:dyDescent="0.3">
      <c r="A248" s="2" t="s">
        <v>30</v>
      </c>
      <c r="B248" s="2" t="s">
        <v>601</v>
      </c>
      <c r="C248" s="2" t="s">
        <v>147</v>
      </c>
      <c r="D248" s="2">
        <v>39</v>
      </c>
      <c r="E248" s="2" t="s">
        <v>231</v>
      </c>
      <c r="F248" s="2" t="s">
        <v>234</v>
      </c>
      <c r="G248" s="2" t="s">
        <v>241</v>
      </c>
      <c r="H248" s="2" t="s">
        <v>244</v>
      </c>
      <c r="I248" s="2">
        <v>12</v>
      </c>
      <c r="J248" s="2" t="s">
        <v>241</v>
      </c>
      <c r="K248" s="2" t="s">
        <v>308</v>
      </c>
      <c r="L248" s="2">
        <v>13</v>
      </c>
      <c r="M248" s="2" t="s">
        <v>262</v>
      </c>
      <c r="N248" s="2">
        <v>0</v>
      </c>
      <c r="O248" s="2" t="s">
        <v>313</v>
      </c>
      <c r="P248" s="2" t="s">
        <v>312</v>
      </c>
      <c r="Q248" s="2" t="s">
        <v>311</v>
      </c>
      <c r="R248" s="2" t="s">
        <v>314</v>
      </c>
      <c r="S248" s="2" t="s">
        <v>312</v>
      </c>
      <c r="T248" s="2" t="s">
        <v>311</v>
      </c>
      <c r="U248" s="2" t="s">
        <v>311</v>
      </c>
      <c r="V248" s="2" t="s">
        <v>316</v>
      </c>
      <c r="W248" s="2" t="s">
        <v>315</v>
      </c>
      <c r="X248" s="2" t="s">
        <v>318</v>
      </c>
      <c r="Y248" s="2" t="s">
        <v>315</v>
      </c>
      <c r="Z248" s="2" t="s">
        <v>312</v>
      </c>
      <c r="AA248" s="2" t="s">
        <v>1095</v>
      </c>
      <c r="AB248" s="2" t="s">
        <v>324</v>
      </c>
      <c r="AC248" s="2" t="s">
        <v>1103</v>
      </c>
      <c r="AD248" s="2" t="s">
        <v>1105</v>
      </c>
    </row>
    <row r="249" spans="1:30" x14ac:dyDescent="0.3">
      <c r="A249" s="2" t="s">
        <v>30</v>
      </c>
      <c r="B249" s="2" t="s">
        <v>536</v>
      </c>
      <c r="C249" s="2" t="s">
        <v>940</v>
      </c>
      <c r="D249" s="2">
        <v>40</v>
      </c>
      <c r="E249" s="2" t="s">
        <v>232</v>
      </c>
      <c r="F249" s="2" t="s">
        <v>235</v>
      </c>
      <c r="G249" s="2" t="s">
        <v>243</v>
      </c>
      <c r="H249" s="2" t="s">
        <v>244</v>
      </c>
      <c r="I249" s="2">
        <v>23</v>
      </c>
      <c r="J249" s="2" t="s">
        <v>1031</v>
      </c>
      <c r="K249" s="2" t="s">
        <v>308</v>
      </c>
      <c r="L249" s="2">
        <v>18</v>
      </c>
      <c r="M249" s="2" t="s">
        <v>262</v>
      </c>
      <c r="N249" s="2">
        <v>2</v>
      </c>
      <c r="O249" s="2" t="s">
        <v>311</v>
      </c>
      <c r="P249" s="2" t="s">
        <v>311</v>
      </c>
      <c r="Q249" s="2" t="s">
        <v>314</v>
      </c>
      <c r="R249" s="2" t="s">
        <v>314</v>
      </c>
      <c r="S249" s="2" t="s">
        <v>313</v>
      </c>
      <c r="T249" s="2" t="s">
        <v>312</v>
      </c>
      <c r="U249" s="2" t="s">
        <v>312</v>
      </c>
      <c r="V249" s="2" t="s">
        <v>316</v>
      </c>
      <c r="W249" s="2" t="s">
        <v>315</v>
      </c>
      <c r="X249" s="2" t="s">
        <v>319</v>
      </c>
      <c r="Y249" s="2" t="s">
        <v>315</v>
      </c>
      <c r="Z249" s="2" t="s">
        <v>312</v>
      </c>
      <c r="AA249" s="2" t="s">
        <v>315</v>
      </c>
      <c r="AB249" s="2" t="s">
        <v>325</v>
      </c>
      <c r="AC249" s="2" t="s">
        <v>1102</v>
      </c>
      <c r="AD249" s="2" t="s">
        <v>1105</v>
      </c>
    </row>
    <row r="250" spans="1:30" hidden="1" x14ac:dyDescent="0.3">
      <c r="A250" s="2" t="s">
        <v>30</v>
      </c>
      <c r="B250" s="2" t="s">
        <v>590</v>
      </c>
      <c r="C250" s="2" t="s">
        <v>879</v>
      </c>
      <c r="D250" s="2">
        <v>41</v>
      </c>
      <c r="E250" s="2" t="s">
        <v>231</v>
      </c>
      <c r="F250" s="2" t="s">
        <v>234</v>
      </c>
      <c r="G250" s="2" t="s">
        <v>239</v>
      </c>
      <c r="H250" s="2" t="s">
        <v>244</v>
      </c>
      <c r="I250" s="2">
        <v>10</v>
      </c>
      <c r="J250" s="2" t="s">
        <v>986</v>
      </c>
      <c r="K250" s="2" t="s">
        <v>308</v>
      </c>
      <c r="L250" s="2">
        <v>10</v>
      </c>
      <c r="M250" s="2" t="s">
        <v>251</v>
      </c>
      <c r="N250" s="2">
        <v>3</v>
      </c>
      <c r="O250" s="2" t="s">
        <v>313</v>
      </c>
      <c r="P250" s="2" t="s">
        <v>312</v>
      </c>
      <c r="Q250" s="2" t="s">
        <v>313</v>
      </c>
      <c r="R250" s="2" t="s">
        <v>313</v>
      </c>
      <c r="S250" s="2" t="s">
        <v>313</v>
      </c>
      <c r="T250" s="2" t="s">
        <v>314</v>
      </c>
      <c r="U250" s="2" t="s">
        <v>314</v>
      </c>
      <c r="V250" s="2" t="s">
        <v>316</v>
      </c>
      <c r="W250" s="2" t="s">
        <v>315</v>
      </c>
      <c r="X250" s="2" t="s">
        <v>317</v>
      </c>
      <c r="Y250" s="2" t="s">
        <v>316</v>
      </c>
      <c r="Z250" s="2" t="s">
        <v>312</v>
      </c>
      <c r="AA250" s="2" t="s">
        <v>321</v>
      </c>
      <c r="AB250" s="2" t="s">
        <v>323</v>
      </c>
      <c r="AC250" s="2" t="s">
        <v>1098</v>
      </c>
      <c r="AD250" s="2" t="s">
        <v>1105</v>
      </c>
    </row>
    <row r="251" spans="1:30" x14ac:dyDescent="0.3">
      <c r="A251" s="2" t="s">
        <v>30</v>
      </c>
      <c r="B251" s="2" t="s">
        <v>577</v>
      </c>
      <c r="C251" s="2" t="s">
        <v>803</v>
      </c>
      <c r="D251" s="2">
        <v>42</v>
      </c>
      <c r="E251" s="2" t="s">
        <v>232</v>
      </c>
      <c r="F251" s="2" t="s">
        <v>236</v>
      </c>
      <c r="G251" s="2" t="s">
        <v>239</v>
      </c>
      <c r="H251" s="2" t="s">
        <v>244</v>
      </c>
      <c r="I251" s="2">
        <v>5</v>
      </c>
      <c r="J251" s="2" t="s">
        <v>988</v>
      </c>
      <c r="K251" s="2" t="s">
        <v>309</v>
      </c>
      <c r="L251" s="2">
        <v>19</v>
      </c>
      <c r="M251" s="2" t="s">
        <v>241</v>
      </c>
      <c r="N251" s="2">
        <v>0</v>
      </c>
      <c r="O251" s="2" t="s">
        <v>314</v>
      </c>
      <c r="P251" s="2" t="s">
        <v>311</v>
      </c>
      <c r="Q251" s="2" t="s">
        <v>314</v>
      </c>
      <c r="R251" s="2" t="s">
        <v>312</v>
      </c>
      <c r="S251" s="2" t="s">
        <v>312</v>
      </c>
      <c r="T251" s="2" t="s">
        <v>314</v>
      </c>
      <c r="U251" s="2" t="s">
        <v>314</v>
      </c>
      <c r="V251" s="2" t="s">
        <v>316</v>
      </c>
      <c r="W251" s="2" t="s">
        <v>315</v>
      </c>
      <c r="X251" s="2" t="s">
        <v>319</v>
      </c>
      <c r="Y251" s="2" t="s">
        <v>315</v>
      </c>
      <c r="Z251" s="2" t="s">
        <v>312</v>
      </c>
      <c r="AA251" s="2" t="s">
        <v>321</v>
      </c>
      <c r="AB251" s="2" t="s">
        <v>326</v>
      </c>
      <c r="AC251" s="2" t="s">
        <v>1103</v>
      </c>
      <c r="AD251" s="2" t="s">
        <v>1105</v>
      </c>
    </row>
    <row r="252" spans="1:30" x14ac:dyDescent="0.3">
      <c r="A252" s="2" t="s">
        <v>30</v>
      </c>
      <c r="B252" s="2" t="s">
        <v>621</v>
      </c>
      <c r="C252" s="2" t="s">
        <v>169</v>
      </c>
      <c r="D252" s="2">
        <v>42</v>
      </c>
      <c r="E252" s="2" t="s">
        <v>232</v>
      </c>
      <c r="F252" s="2" t="s">
        <v>235</v>
      </c>
      <c r="G252" s="2" t="s">
        <v>242</v>
      </c>
      <c r="H252" s="2" t="s">
        <v>246</v>
      </c>
      <c r="I252" s="2">
        <v>14</v>
      </c>
      <c r="J252" s="2" t="s">
        <v>259</v>
      </c>
      <c r="K252" s="2" t="s">
        <v>308</v>
      </c>
      <c r="L252" s="2">
        <v>0</v>
      </c>
      <c r="M252" s="2" t="s">
        <v>275</v>
      </c>
      <c r="N252" s="2">
        <v>1</v>
      </c>
      <c r="O252" s="2" t="s">
        <v>313</v>
      </c>
      <c r="P252" s="2" t="s">
        <v>311</v>
      </c>
      <c r="Q252" s="2" t="s">
        <v>314</v>
      </c>
      <c r="R252" s="2" t="s">
        <v>313</v>
      </c>
      <c r="S252" s="2" t="s">
        <v>312</v>
      </c>
      <c r="T252" s="2" t="s">
        <v>313</v>
      </c>
      <c r="U252" s="2" t="s">
        <v>313</v>
      </c>
      <c r="V252" s="2" t="s">
        <v>316</v>
      </c>
      <c r="W252" s="2" t="s">
        <v>315</v>
      </c>
      <c r="X252" s="2" t="s">
        <v>317</v>
      </c>
      <c r="Y252" s="2" t="s">
        <v>316</v>
      </c>
      <c r="Z252" s="2" t="s">
        <v>312</v>
      </c>
      <c r="AA252" s="2" t="s">
        <v>321</v>
      </c>
      <c r="AB252" s="2" t="s">
        <v>326</v>
      </c>
      <c r="AC252" s="2" t="s">
        <v>1103</v>
      </c>
      <c r="AD252" s="2" t="s">
        <v>1105</v>
      </c>
    </row>
    <row r="253" spans="1:30" x14ac:dyDescent="0.3">
      <c r="A253" s="2" t="s">
        <v>30</v>
      </c>
      <c r="B253" s="2" t="s">
        <v>536</v>
      </c>
      <c r="C253" s="2" t="s">
        <v>176</v>
      </c>
      <c r="D253" s="2">
        <v>43</v>
      </c>
      <c r="E253" s="2" t="s">
        <v>232</v>
      </c>
      <c r="F253" s="2" t="s">
        <v>237</v>
      </c>
      <c r="G253" s="2" t="s">
        <v>242</v>
      </c>
      <c r="H253" s="2" t="s">
        <v>245</v>
      </c>
      <c r="I253" s="2">
        <v>2</v>
      </c>
      <c r="J253" s="2" t="s">
        <v>1026</v>
      </c>
      <c r="K253" s="2" t="s">
        <v>310</v>
      </c>
      <c r="L253" s="2">
        <v>1</v>
      </c>
      <c r="M253" s="2" t="s">
        <v>255</v>
      </c>
      <c r="N253" s="2">
        <v>1</v>
      </c>
      <c r="O253" s="2" t="s">
        <v>311</v>
      </c>
      <c r="P253" s="2" t="s">
        <v>314</v>
      </c>
      <c r="Q253" s="2" t="s">
        <v>312</v>
      </c>
      <c r="R253" s="2" t="s">
        <v>312</v>
      </c>
      <c r="S253" s="2" t="s">
        <v>311</v>
      </c>
      <c r="T253" s="2" t="s">
        <v>312</v>
      </c>
      <c r="U253" s="2" t="s">
        <v>312</v>
      </c>
      <c r="V253" s="2" t="s">
        <v>316</v>
      </c>
      <c r="W253" s="2" t="s">
        <v>315</v>
      </c>
      <c r="X253" s="2" t="s">
        <v>319</v>
      </c>
      <c r="Y253" s="2" t="s">
        <v>315</v>
      </c>
      <c r="Z253" s="2" t="s">
        <v>312</v>
      </c>
      <c r="AA253" s="2" t="s">
        <v>321</v>
      </c>
      <c r="AB253" s="2" t="s">
        <v>326</v>
      </c>
      <c r="AC253" s="2" t="s">
        <v>1101</v>
      </c>
      <c r="AD253" s="2" t="s">
        <v>1105</v>
      </c>
    </row>
    <row r="254" spans="1:30" x14ac:dyDescent="0.3">
      <c r="A254" s="2" t="s">
        <v>30</v>
      </c>
      <c r="B254" s="2" t="s">
        <v>534</v>
      </c>
      <c r="C254" s="2" t="s">
        <v>844</v>
      </c>
      <c r="D254" s="2">
        <v>44</v>
      </c>
      <c r="E254" s="2" t="s">
        <v>232</v>
      </c>
      <c r="F254" s="2" t="s">
        <v>233</v>
      </c>
      <c r="G254" s="2" t="s">
        <v>240</v>
      </c>
      <c r="H254" s="2" t="s">
        <v>245</v>
      </c>
      <c r="I254" s="2">
        <v>10</v>
      </c>
      <c r="J254" s="2" t="s">
        <v>966</v>
      </c>
      <c r="K254" s="2" t="s">
        <v>309</v>
      </c>
      <c r="L254" s="2">
        <v>17</v>
      </c>
      <c r="M254" s="2" t="s">
        <v>275</v>
      </c>
      <c r="N254" s="2">
        <v>2</v>
      </c>
      <c r="O254" s="2" t="s">
        <v>313</v>
      </c>
      <c r="P254" s="2" t="s">
        <v>313</v>
      </c>
      <c r="Q254" s="2" t="s">
        <v>314</v>
      </c>
      <c r="R254" s="2" t="s">
        <v>311</v>
      </c>
      <c r="S254" s="2" t="s">
        <v>312</v>
      </c>
      <c r="T254" s="2" t="s">
        <v>313</v>
      </c>
      <c r="U254" s="2" t="s">
        <v>313</v>
      </c>
      <c r="V254" s="2" t="s">
        <v>316</v>
      </c>
      <c r="W254" s="2" t="s">
        <v>315</v>
      </c>
      <c r="X254" s="2" t="s">
        <v>320</v>
      </c>
      <c r="Y254" s="2" t="s">
        <v>315</v>
      </c>
      <c r="Z254" s="2" t="s">
        <v>312</v>
      </c>
      <c r="AA254" s="2" t="s">
        <v>321</v>
      </c>
      <c r="AB254" s="2" t="s">
        <v>325</v>
      </c>
      <c r="AC254" s="2" t="s">
        <v>1098</v>
      </c>
      <c r="AD254" s="2" t="s">
        <v>1105</v>
      </c>
    </row>
    <row r="255" spans="1:30" x14ac:dyDescent="0.3">
      <c r="A255" s="2" t="s">
        <v>30</v>
      </c>
      <c r="B255" s="2" t="s">
        <v>603</v>
      </c>
      <c r="C255" s="2" t="s">
        <v>145</v>
      </c>
      <c r="D255" s="2">
        <v>44</v>
      </c>
      <c r="E255" s="2" t="s">
        <v>232</v>
      </c>
      <c r="F255" s="2" t="s">
        <v>234</v>
      </c>
      <c r="G255" s="2" t="s">
        <v>243</v>
      </c>
      <c r="H255" s="2" t="s">
        <v>245</v>
      </c>
      <c r="I255" s="2">
        <v>7</v>
      </c>
      <c r="J255" s="2" t="s">
        <v>256</v>
      </c>
      <c r="K255" s="2" t="s">
        <v>309</v>
      </c>
      <c r="L255" s="2">
        <v>5</v>
      </c>
      <c r="M255" s="2" t="s">
        <v>275</v>
      </c>
      <c r="N255" s="2">
        <v>1</v>
      </c>
      <c r="O255" s="2" t="s">
        <v>313</v>
      </c>
      <c r="P255" s="2" t="s">
        <v>314</v>
      </c>
      <c r="Q255" s="2" t="s">
        <v>313</v>
      </c>
      <c r="R255" s="2" t="s">
        <v>313</v>
      </c>
      <c r="S255" s="2" t="s">
        <v>312</v>
      </c>
      <c r="T255" s="2" t="s">
        <v>311</v>
      </c>
      <c r="U255" s="2" t="s">
        <v>311</v>
      </c>
      <c r="V255" s="2" t="s">
        <v>316</v>
      </c>
      <c r="W255" s="2" t="s">
        <v>315</v>
      </c>
      <c r="X255" s="2" t="s">
        <v>319</v>
      </c>
      <c r="Y255" s="2" t="s">
        <v>315</v>
      </c>
      <c r="Z255" s="2" t="s">
        <v>312</v>
      </c>
      <c r="AA255" s="2" t="s">
        <v>316</v>
      </c>
      <c r="AB255" s="2" t="s">
        <v>325</v>
      </c>
      <c r="AC255" s="2" t="s">
        <v>1099</v>
      </c>
      <c r="AD255" s="2" t="s">
        <v>1105</v>
      </c>
    </row>
    <row r="256" spans="1:30" x14ac:dyDescent="0.3">
      <c r="A256" s="1">
        <v>45675.579618055563</v>
      </c>
      <c r="B256" s="2" t="s">
        <v>93</v>
      </c>
      <c r="C256" s="2" t="s">
        <v>876</v>
      </c>
      <c r="D256" s="2">
        <v>48</v>
      </c>
      <c r="E256" s="2" t="s">
        <v>232</v>
      </c>
      <c r="F256" s="2" t="s">
        <v>235</v>
      </c>
      <c r="G256" s="2" t="s">
        <v>242</v>
      </c>
      <c r="H256" s="2" t="s">
        <v>246</v>
      </c>
      <c r="I256" s="2">
        <v>9</v>
      </c>
      <c r="J256" s="2" t="s">
        <v>288</v>
      </c>
      <c r="K256" s="2" t="s">
        <v>310</v>
      </c>
      <c r="L256" s="2">
        <v>8</v>
      </c>
      <c r="M256" s="2" t="s">
        <v>251</v>
      </c>
      <c r="N256" s="2">
        <v>3</v>
      </c>
      <c r="O256" s="2" t="s">
        <v>311</v>
      </c>
      <c r="P256" s="2" t="s">
        <v>312</v>
      </c>
      <c r="Q256" s="2" t="s">
        <v>314</v>
      </c>
      <c r="R256" s="2" t="s">
        <v>314</v>
      </c>
      <c r="S256" s="2" t="s">
        <v>311</v>
      </c>
      <c r="T256" s="2" t="s">
        <v>313</v>
      </c>
      <c r="U256" s="2" t="s">
        <v>313</v>
      </c>
      <c r="V256" s="2" t="s">
        <v>316</v>
      </c>
      <c r="W256" s="2" t="s">
        <v>315</v>
      </c>
      <c r="X256" s="2" t="s">
        <v>317</v>
      </c>
      <c r="Y256" s="2" t="s">
        <v>316</v>
      </c>
      <c r="Z256" s="2" t="s">
        <v>312</v>
      </c>
      <c r="AA256" s="2" t="s">
        <v>321</v>
      </c>
      <c r="AB256" s="2" t="s">
        <v>325</v>
      </c>
      <c r="AC256" s="2" t="s">
        <v>389</v>
      </c>
      <c r="AD256" s="2" t="s">
        <v>489</v>
      </c>
    </row>
    <row r="257" spans="1:30" x14ac:dyDescent="0.3">
      <c r="A257" s="2" t="s">
        <v>30</v>
      </c>
      <c r="B257" s="2" t="s">
        <v>542</v>
      </c>
      <c r="C257" s="2" t="s">
        <v>796</v>
      </c>
      <c r="D257" s="2">
        <v>48</v>
      </c>
      <c r="E257" s="2" t="s">
        <v>232</v>
      </c>
      <c r="F257" s="2" t="s">
        <v>237</v>
      </c>
      <c r="G257" s="2" t="s">
        <v>241</v>
      </c>
      <c r="H257" s="2" t="s">
        <v>245</v>
      </c>
      <c r="I257" s="2">
        <v>1</v>
      </c>
      <c r="J257" s="2" t="s">
        <v>966</v>
      </c>
      <c r="K257" s="2" t="s">
        <v>309</v>
      </c>
      <c r="L257" s="2">
        <v>16</v>
      </c>
      <c r="M257" s="2" t="s">
        <v>275</v>
      </c>
      <c r="N257" s="2">
        <v>1</v>
      </c>
      <c r="O257" s="2" t="s">
        <v>311</v>
      </c>
      <c r="P257" s="2" t="s">
        <v>312</v>
      </c>
      <c r="Q257" s="2" t="s">
        <v>314</v>
      </c>
      <c r="R257" s="2" t="s">
        <v>312</v>
      </c>
      <c r="S257" s="2" t="s">
        <v>313</v>
      </c>
      <c r="T257" s="2" t="s">
        <v>311</v>
      </c>
      <c r="U257" s="2" t="s">
        <v>311</v>
      </c>
      <c r="V257" s="2" t="s">
        <v>316</v>
      </c>
      <c r="W257" s="2" t="s">
        <v>315</v>
      </c>
      <c r="X257" s="2" t="s">
        <v>318</v>
      </c>
      <c r="Y257" s="2" t="s">
        <v>315</v>
      </c>
      <c r="Z257" s="2" t="s">
        <v>312</v>
      </c>
      <c r="AA257" s="2" t="s">
        <v>315</v>
      </c>
      <c r="AB257" s="2" t="s">
        <v>326</v>
      </c>
      <c r="AC257" s="2" t="s">
        <v>1098</v>
      </c>
      <c r="AD257" s="2" t="s">
        <v>1105</v>
      </c>
    </row>
    <row r="258" spans="1:30" hidden="1" x14ac:dyDescent="0.3">
      <c r="A258" s="2" t="s">
        <v>30</v>
      </c>
      <c r="B258" s="2" t="s">
        <v>549</v>
      </c>
      <c r="C258" s="2" t="s">
        <v>701</v>
      </c>
      <c r="D258" s="2">
        <v>49</v>
      </c>
      <c r="E258" s="2" t="s">
        <v>231</v>
      </c>
      <c r="F258" s="2" t="s">
        <v>236</v>
      </c>
      <c r="G258" s="2" t="s">
        <v>241</v>
      </c>
      <c r="H258" s="2" t="s">
        <v>244</v>
      </c>
      <c r="I258" s="2">
        <v>18</v>
      </c>
      <c r="J258" s="2" t="s">
        <v>1084</v>
      </c>
      <c r="K258" s="2" t="s">
        <v>309</v>
      </c>
      <c r="L258" s="2">
        <v>3</v>
      </c>
      <c r="M258" s="2" t="s">
        <v>241</v>
      </c>
      <c r="N258" s="2">
        <v>0</v>
      </c>
      <c r="O258" s="2" t="s">
        <v>314</v>
      </c>
      <c r="P258" s="2" t="s">
        <v>314</v>
      </c>
      <c r="Q258" s="2" t="s">
        <v>311</v>
      </c>
      <c r="R258" s="2" t="s">
        <v>312</v>
      </c>
      <c r="S258" s="2" t="s">
        <v>314</v>
      </c>
      <c r="T258" s="2" t="s">
        <v>312</v>
      </c>
      <c r="U258" s="2" t="s">
        <v>312</v>
      </c>
      <c r="V258" s="2" t="s">
        <v>316</v>
      </c>
      <c r="W258" s="2" t="s">
        <v>315</v>
      </c>
      <c r="X258" s="2" t="s">
        <v>317</v>
      </c>
      <c r="Y258" s="2" t="s">
        <v>316</v>
      </c>
      <c r="Z258" s="2" t="s">
        <v>312</v>
      </c>
      <c r="AA258" s="2" t="s">
        <v>316</v>
      </c>
      <c r="AB258" s="2" t="s">
        <v>323</v>
      </c>
      <c r="AC258" s="2" t="s">
        <v>1098</v>
      </c>
      <c r="AD258" s="2" t="s">
        <v>1105</v>
      </c>
    </row>
    <row r="259" spans="1:30" hidden="1" x14ac:dyDescent="0.3">
      <c r="A259" s="1">
        <v>45702.07849537037</v>
      </c>
      <c r="B259" s="2" t="s">
        <v>47</v>
      </c>
      <c r="C259" s="2" t="s">
        <v>786</v>
      </c>
      <c r="D259" s="2">
        <v>50</v>
      </c>
      <c r="E259" s="2" t="s">
        <v>231</v>
      </c>
      <c r="F259" s="2" t="s">
        <v>236</v>
      </c>
      <c r="G259" s="2" t="s">
        <v>239</v>
      </c>
      <c r="H259" s="2" t="s">
        <v>245</v>
      </c>
      <c r="I259" s="2">
        <v>14</v>
      </c>
      <c r="J259" s="2" t="s">
        <v>258</v>
      </c>
      <c r="K259" s="2" t="s">
        <v>310</v>
      </c>
      <c r="L259" s="2">
        <v>20</v>
      </c>
      <c r="M259" s="2" t="s">
        <v>243</v>
      </c>
      <c r="N259" s="2">
        <v>0</v>
      </c>
      <c r="O259" s="2" t="s">
        <v>314</v>
      </c>
      <c r="P259" s="2" t="s">
        <v>314</v>
      </c>
      <c r="Q259" s="2" t="s">
        <v>312</v>
      </c>
      <c r="R259" s="2" t="s">
        <v>314</v>
      </c>
      <c r="S259" s="2" t="s">
        <v>312</v>
      </c>
      <c r="T259" s="2" t="s">
        <v>311</v>
      </c>
      <c r="U259" s="2" t="s">
        <v>313</v>
      </c>
      <c r="V259" s="2" t="s">
        <v>316</v>
      </c>
      <c r="W259" s="2" t="s">
        <v>315</v>
      </c>
      <c r="X259" s="2" t="s">
        <v>318</v>
      </c>
      <c r="Y259" s="2" t="s">
        <v>316</v>
      </c>
      <c r="Z259" s="2" t="s">
        <v>312</v>
      </c>
      <c r="AA259" s="2" t="s">
        <v>321</v>
      </c>
      <c r="AB259" s="2" t="s">
        <v>325</v>
      </c>
      <c r="AC259" s="2" t="s">
        <v>343</v>
      </c>
      <c r="AD259" s="2" t="s">
        <v>443</v>
      </c>
    </row>
    <row r="260" spans="1:30" x14ac:dyDescent="0.3">
      <c r="A260" s="1">
        <v>45689.371365740742</v>
      </c>
      <c r="B260" s="2" t="s">
        <v>72</v>
      </c>
      <c r="C260" s="2" t="s">
        <v>768</v>
      </c>
      <c r="D260" s="2">
        <v>50</v>
      </c>
      <c r="E260" s="2" t="s">
        <v>232</v>
      </c>
      <c r="F260" s="2" t="s">
        <v>234</v>
      </c>
      <c r="G260" s="2" t="s">
        <v>242</v>
      </c>
      <c r="H260" s="2" t="s">
        <v>245</v>
      </c>
      <c r="I260" s="2">
        <v>6</v>
      </c>
      <c r="J260" s="2" t="s">
        <v>274</v>
      </c>
      <c r="K260" s="2" t="s">
        <v>308</v>
      </c>
      <c r="L260" s="2">
        <v>1</v>
      </c>
      <c r="M260" s="2" t="s">
        <v>255</v>
      </c>
      <c r="N260" s="2">
        <v>1</v>
      </c>
      <c r="O260" s="2" t="s">
        <v>312</v>
      </c>
      <c r="P260" s="2" t="s">
        <v>312</v>
      </c>
      <c r="Q260" s="2" t="s">
        <v>312</v>
      </c>
      <c r="R260" s="2" t="s">
        <v>311</v>
      </c>
      <c r="S260" s="2" t="s">
        <v>312</v>
      </c>
      <c r="T260" s="2" t="s">
        <v>312</v>
      </c>
      <c r="U260" s="2" t="s">
        <v>312</v>
      </c>
      <c r="V260" s="2" t="s">
        <v>316</v>
      </c>
      <c r="W260" s="2" t="s">
        <v>315</v>
      </c>
      <c r="X260" s="2" t="s">
        <v>319</v>
      </c>
      <c r="Y260" s="2" t="s">
        <v>316</v>
      </c>
      <c r="Z260" s="2" t="s">
        <v>312</v>
      </c>
      <c r="AA260" s="2" t="s">
        <v>321</v>
      </c>
      <c r="AB260" s="2" t="s">
        <v>326</v>
      </c>
      <c r="AC260" s="2" t="s">
        <v>368</v>
      </c>
      <c r="AD260" s="2" t="s">
        <v>468</v>
      </c>
    </row>
    <row r="261" spans="1:30" hidden="1" x14ac:dyDescent="0.3">
      <c r="A261" s="1">
        <v>45739.540821759263</v>
      </c>
      <c r="B261" s="2" t="s">
        <v>89</v>
      </c>
      <c r="C261" s="2" t="s">
        <v>741</v>
      </c>
      <c r="D261" s="2">
        <v>51</v>
      </c>
      <c r="E261" s="2" t="s">
        <v>231</v>
      </c>
      <c r="F261" s="2" t="s">
        <v>236</v>
      </c>
      <c r="G261" s="2" t="s">
        <v>241</v>
      </c>
      <c r="H261" s="2" t="s">
        <v>245</v>
      </c>
      <c r="I261" s="2">
        <v>5</v>
      </c>
      <c r="J261" s="2" t="s">
        <v>285</v>
      </c>
      <c r="K261" s="2" t="s">
        <v>310</v>
      </c>
      <c r="L261" s="2">
        <v>0</v>
      </c>
      <c r="M261" s="2" t="s">
        <v>262</v>
      </c>
      <c r="N261" s="2">
        <v>0</v>
      </c>
      <c r="O261" s="2" t="s">
        <v>311</v>
      </c>
      <c r="P261" s="2" t="s">
        <v>314</v>
      </c>
      <c r="Q261" s="2" t="s">
        <v>313</v>
      </c>
      <c r="R261" s="2" t="s">
        <v>313</v>
      </c>
      <c r="S261" s="2" t="s">
        <v>311</v>
      </c>
      <c r="T261" s="2" t="s">
        <v>313</v>
      </c>
      <c r="U261" s="2" t="s">
        <v>311</v>
      </c>
      <c r="V261" s="2" t="s">
        <v>316</v>
      </c>
      <c r="W261" s="2" t="s">
        <v>315</v>
      </c>
      <c r="X261" s="2" t="s">
        <v>319</v>
      </c>
      <c r="Y261" s="2" t="s">
        <v>316</v>
      </c>
      <c r="Z261" s="2" t="s">
        <v>312</v>
      </c>
      <c r="AA261" s="2" t="s">
        <v>321</v>
      </c>
      <c r="AB261" s="2" t="s">
        <v>326</v>
      </c>
      <c r="AC261" s="2" t="s">
        <v>385</v>
      </c>
      <c r="AD261" s="2" t="s">
        <v>485</v>
      </c>
    </row>
    <row r="262" spans="1:30" hidden="1" x14ac:dyDescent="0.3">
      <c r="A262" s="2" t="s">
        <v>30</v>
      </c>
      <c r="B262" s="2" t="s">
        <v>532</v>
      </c>
      <c r="C262" s="2" t="s">
        <v>943</v>
      </c>
      <c r="D262" s="2">
        <v>52</v>
      </c>
      <c r="E262" s="2" t="s">
        <v>231</v>
      </c>
      <c r="F262" s="2" t="s">
        <v>235</v>
      </c>
      <c r="G262" s="2" t="s">
        <v>240</v>
      </c>
      <c r="H262" s="2" t="s">
        <v>246</v>
      </c>
      <c r="I262" s="2">
        <v>8</v>
      </c>
      <c r="J262" s="2" t="s">
        <v>241</v>
      </c>
      <c r="K262" s="2" t="s">
        <v>309</v>
      </c>
      <c r="L262" s="2">
        <v>1</v>
      </c>
      <c r="M262" s="2" t="s">
        <v>241</v>
      </c>
      <c r="N262" s="2">
        <v>1</v>
      </c>
      <c r="O262" s="2" t="s">
        <v>313</v>
      </c>
      <c r="P262" s="2" t="s">
        <v>311</v>
      </c>
      <c r="Q262" s="2" t="s">
        <v>314</v>
      </c>
      <c r="R262" s="2" t="s">
        <v>314</v>
      </c>
      <c r="S262" s="2" t="s">
        <v>311</v>
      </c>
      <c r="T262" s="2" t="s">
        <v>314</v>
      </c>
      <c r="U262" s="2" t="s">
        <v>314</v>
      </c>
      <c r="V262" s="2" t="s">
        <v>316</v>
      </c>
      <c r="W262" s="2" t="s">
        <v>315</v>
      </c>
      <c r="X262" s="2" t="s">
        <v>320</v>
      </c>
      <c r="Y262" s="2" t="s">
        <v>315</v>
      </c>
      <c r="Z262" s="2" t="s">
        <v>312</v>
      </c>
      <c r="AA262" s="2" t="s">
        <v>316</v>
      </c>
      <c r="AB262" s="2" t="s">
        <v>324</v>
      </c>
      <c r="AC262" s="2" t="s">
        <v>1102</v>
      </c>
      <c r="AD262" s="2" t="s">
        <v>1105</v>
      </c>
    </row>
    <row r="263" spans="1:30" x14ac:dyDescent="0.3">
      <c r="A263" s="1">
        <v>45806.35664351852</v>
      </c>
      <c r="B263" s="2" t="s">
        <v>127</v>
      </c>
      <c r="C263" s="2" t="s">
        <v>887</v>
      </c>
      <c r="D263" s="2">
        <v>55</v>
      </c>
      <c r="E263" s="2" t="s">
        <v>232</v>
      </c>
      <c r="F263" s="2" t="s">
        <v>235</v>
      </c>
      <c r="G263" s="2" t="s">
        <v>242</v>
      </c>
      <c r="H263" s="2" t="s">
        <v>245</v>
      </c>
      <c r="I263" s="2">
        <v>29</v>
      </c>
      <c r="J263" s="2" t="s">
        <v>248</v>
      </c>
      <c r="K263" s="2" t="s">
        <v>308</v>
      </c>
      <c r="L263" s="2">
        <v>3</v>
      </c>
      <c r="M263" s="2" t="s">
        <v>241</v>
      </c>
      <c r="N263" s="2">
        <v>1</v>
      </c>
      <c r="O263" s="2" t="s">
        <v>311</v>
      </c>
      <c r="P263" s="2" t="s">
        <v>312</v>
      </c>
      <c r="Q263" s="2" t="s">
        <v>312</v>
      </c>
      <c r="R263" s="2" t="s">
        <v>312</v>
      </c>
      <c r="S263" s="2" t="s">
        <v>312</v>
      </c>
      <c r="T263" s="2" t="s">
        <v>313</v>
      </c>
      <c r="U263" s="2" t="s">
        <v>314</v>
      </c>
      <c r="V263" s="2" t="s">
        <v>316</v>
      </c>
      <c r="W263" s="2" t="s">
        <v>315</v>
      </c>
      <c r="X263" s="2" t="s">
        <v>320</v>
      </c>
      <c r="Y263" s="2" t="s">
        <v>315</v>
      </c>
      <c r="Z263" s="2" t="s">
        <v>312</v>
      </c>
      <c r="AA263" s="2" t="s">
        <v>316</v>
      </c>
      <c r="AB263" s="2" t="s">
        <v>323</v>
      </c>
      <c r="AC263" s="2" t="s">
        <v>423</v>
      </c>
      <c r="AD263" s="2" t="s">
        <v>523</v>
      </c>
    </row>
    <row r="264" spans="1:30" hidden="1" x14ac:dyDescent="0.3">
      <c r="A264" s="1">
        <v>45708.222870370373</v>
      </c>
      <c r="B264" s="2" t="s">
        <v>101</v>
      </c>
      <c r="C264" s="2" t="s">
        <v>137</v>
      </c>
      <c r="D264" s="2">
        <v>57</v>
      </c>
      <c r="E264" s="2" t="s">
        <v>231</v>
      </c>
      <c r="F264" s="2" t="s">
        <v>237</v>
      </c>
      <c r="G264" s="2" t="s">
        <v>240</v>
      </c>
      <c r="H264" s="2" t="s">
        <v>246</v>
      </c>
      <c r="I264" s="2">
        <v>20</v>
      </c>
      <c r="J264" s="2" t="s">
        <v>294</v>
      </c>
      <c r="K264" s="2" t="s">
        <v>309</v>
      </c>
      <c r="L264" s="2">
        <v>10</v>
      </c>
      <c r="M264" s="2" t="s">
        <v>249</v>
      </c>
      <c r="N264" s="2">
        <v>3</v>
      </c>
      <c r="O264" s="2" t="s">
        <v>314</v>
      </c>
      <c r="P264" s="2" t="s">
        <v>313</v>
      </c>
      <c r="Q264" s="2" t="s">
        <v>311</v>
      </c>
      <c r="R264" s="2" t="s">
        <v>314</v>
      </c>
      <c r="S264" s="2" t="s">
        <v>313</v>
      </c>
      <c r="T264" s="2" t="s">
        <v>312</v>
      </c>
      <c r="U264" s="2" t="s">
        <v>311</v>
      </c>
      <c r="V264" s="2" t="s">
        <v>316</v>
      </c>
      <c r="W264" s="2" t="s">
        <v>315</v>
      </c>
      <c r="X264" s="2" t="s">
        <v>320</v>
      </c>
      <c r="Y264" s="2" t="s">
        <v>315</v>
      </c>
      <c r="Z264" s="2" t="s">
        <v>312</v>
      </c>
      <c r="AA264" s="2" t="s">
        <v>321</v>
      </c>
      <c r="AB264" s="2" t="s">
        <v>324</v>
      </c>
      <c r="AC264" s="2" t="s">
        <v>397</v>
      </c>
      <c r="AD264" s="2" t="s">
        <v>497</v>
      </c>
    </row>
    <row r="265" spans="1:30" hidden="1" x14ac:dyDescent="0.3">
      <c r="A265" s="2" t="s">
        <v>30</v>
      </c>
      <c r="B265" s="2" t="s">
        <v>644</v>
      </c>
      <c r="C265" s="2" t="s">
        <v>755</v>
      </c>
      <c r="D265" s="2">
        <v>57</v>
      </c>
      <c r="E265" s="2" t="s">
        <v>231</v>
      </c>
      <c r="F265" s="2" t="s">
        <v>235</v>
      </c>
      <c r="G265" s="2" t="s">
        <v>239</v>
      </c>
      <c r="H265" s="2" t="s">
        <v>244</v>
      </c>
      <c r="I265" s="2">
        <v>15</v>
      </c>
      <c r="J265" s="2" t="s">
        <v>253</v>
      </c>
      <c r="K265" s="2" t="s">
        <v>308</v>
      </c>
      <c r="L265" s="2">
        <v>3</v>
      </c>
      <c r="M265" s="2" t="s">
        <v>251</v>
      </c>
      <c r="N265" s="2">
        <v>1</v>
      </c>
      <c r="O265" s="2" t="s">
        <v>313</v>
      </c>
      <c r="P265" s="2" t="s">
        <v>312</v>
      </c>
      <c r="Q265" s="2" t="s">
        <v>312</v>
      </c>
      <c r="R265" s="2" t="s">
        <v>312</v>
      </c>
      <c r="S265" s="2" t="s">
        <v>314</v>
      </c>
      <c r="T265" s="2" t="s">
        <v>312</v>
      </c>
      <c r="U265" s="2" t="s">
        <v>312</v>
      </c>
      <c r="V265" s="2" t="s">
        <v>316</v>
      </c>
      <c r="W265" s="2" t="s">
        <v>315</v>
      </c>
      <c r="X265" s="2" t="s">
        <v>317</v>
      </c>
      <c r="Y265" s="2" t="s">
        <v>316</v>
      </c>
      <c r="Z265" s="2" t="s">
        <v>312</v>
      </c>
      <c r="AA265" s="2" t="s">
        <v>1095</v>
      </c>
      <c r="AB265" s="2" t="s">
        <v>324</v>
      </c>
      <c r="AC265" s="2" t="s">
        <v>1102</v>
      </c>
      <c r="AD265" s="2" t="s">
        <v>1105</v>
      </c>
    </row>
    <row r="266" spans="1:30" x14ac:dyDescent="0.3">
      <c r="A266" s="2" t="s">
        <v>30</v>
      </c>
      <c r="B266" s="2" t="s">
        <v>546</v>
      </c>
      <c r="C266" s="2" t="s">
        <v>762</v>
      </c>
      <c r="D266" s="2">
        <v>58</v>
      </c>
      <c r="E266" s="2" t="s">
        <v>232</v>
      </c>
      <c r="F266" s="2" t="s">
        <v>237</v>
      </c>
      <c r="G266" s="2" t="s">
        <v>242</v>
      </c>
      <c r="H266" s="2" t="s">
        <v>244</v>
      </c>
      <c r="I266" s="2">
        <v>20</v>
      </c>
      <c r="J266" s="2" t="s">
        <v>249</v>
      </c>
      <c r="K266" s="2" t="s">
        <v>308</v>
      </c>
      <c r="L266" s="2">
        <v>5</v>
      </c>
      <c r="M266" s="2" t="s">
        <v>241</v>
      </c>
      <c r="N266" s="2">
        <v>1</v>
      </c>
      <c r="O266" s="2" t="s">
        <v>313</v>
      </c>
      <c r="P266" s="2" t="s">
        <v>313</v>
      </c>
      <c r="Q266" s="2" t="s">
        <v>312</v>
      </c>
      <c r="R266" s="2" t="s">
        <v>314</v>
      </c>
      <c r="S266" s="2" t="s">
        <v>312</v>
      </c>
      <c r="T266" s="2" t="s">
        <v>312</v>
      </c>
      <c r="U266" s="2" t="s">
        <v>312</v>
      </c>
      <c r="V266" s="2" t="s">
        <v>316</v>
      </c>
      <c r="W266" s="2" t="s">
        <v>315</v>
      </c>
      <c r="X266" s="2" t="s">
        <v>319</v>
      </c>
      <c r="Y266" s="2" t="s">
        <v>315</v>
      </c>
      <c r="Z266" s="2" t="s">
        <v>312</v>
      </c>
      <c r="AA266" s="2" t="s">
        <v>321</v>
      </c>
      <c r="AB266" s="2" t="s">
        <v>324</v>
      </c>
      <c r="AC266" s="2" t="s">
        <v>1097</v>
      </c>
      <c r="AD266" s="2" t="s">
        <v>1105</v>
      </c>
    </row>
    <row r="267" spans="1:30" hidden="1" x14ac:dyDescent="0.3">
      <c r="A267" s="2" t="s">
        <v>30</v>
      </c>
      <c r="B267" s="2" t="s">
        <v>566</v>
      </c>
      <c r="C267" s="2" t="s">
        <v>196</v>
      </c>
      <c r="D267" s="2">
        <v>59</v>
      </c>
      <c r="E267" s="2" t="s">
        <v>231</v>
      </c>
      <c r="F267" s="2" t="s">
        <v>237</v>
      </c>
      <c r="G267" s="2" t="s">
        <v>243</v>
      </c>
      <c r="H267" s="2" t="s">
        <v>244</v>
      </c>
      <c r="I267" s="2">
        <v>12</v>
      </c>
      <c r="J267" s="2" t="s">
        <v>980</v>
      </c>
      <c r="K267" s="2" t="s">
        <v>308</v>
      </c>
      <c r="L267" s="2">
        <v>7</v>
      </c>
      <c r="M267" s="2" t="s">
        <v>249</v>
      </c>
      <c r="N267" s="2">
        <v>3</v>
      </c>
      <c r="O267" s="2" t="s">
        <v>314</v>
      </c>
      <c r="P267" s="2" t="s">
        <v>312</v>
      </c>
      <c r="Q267" s="2" t="s">
        <v>311</v>
      </c>
      <c r="R267" s="2" t="s">
        <v>314</v>
      </c>
      <c r="S267" s="2" t="s">
        <v>314</v>
      </c>
      <c r="T267" s="2" t="s">
        <v>311</v>
      </c>
      <c r="U267" s="2" t="s">
        <v>311</v>
      </c>
      <c r="V267" s="2" t="s">
        <v>316</v>
      </c>
      <c r="W267" s="2" t="s">
        <v>315</v>
      </c>
      <c r="X267" s="2" t="s">
        <v>317</v>
      </c>
      <c r="Y267" s="2" t="s">
        <v>316</v>
      </c>
      <c r="Z267" s="2" t="s">
        <v>312</v>
      </c>
      <c r="AA267" s="2" t="s">
        <v>316</v>
      </c>
      <c r="AB267" s="2" t="s">
        <v>325</v>
      </c>
      <c r="AC267" s="2" t="s">
        <v>1102</v>
      </c>
      <c r="AD267" s="2" t="s">
        <v>1105</v>
      </c>
    </row>
    <row r="268" spans="1:30" hidden="1" x14ac:dyDescent="0.3">
      <c r="A268" s="2" t="s">
        <v>30</v>
      </c>
      <c r="B268" s="2" t="s">
        <v>556</v>
      </c>
      <c r="C268" s="2" t="s">
        <v>799</v>
      </c>
      <c r="D268" s="2">
        <v>60</v>
      </c>
      <c r="E268" s="2" t="s">
        <v>231</v>
      </c>
      <c r="F268" s="2" t="s">
        <v>237</v>
      </c>
      <c r="G268" s="2" t="s">
        <v>242</v>
      </c>
      <c r="H268" s="2" t="s">
        <v>246</v>
      </c>
      <c r="I268" s="2">
        <v>15</v>
      </c>
      <c r="J268" s="2" t="s">
        <v>282</v>
      </c>
      <c r="K268" s="2" t="s">
        <v>308</v>
      </c>
      <c r="L268" s="2">
        <v>7</v>
      </c>
      <c r="M268" s="2" t="s">
        <v>241</v>
      </c>
      <c r="N268" s="2">
        <v>1</v>
      </c>
      <c r="O268" s="2" t="s">
        <v>312</v>
      </c>
      <c r="P268" s="2" t="s">
        <v>311</v>
      </c>
      <c r="Q268" s="2" t="s">
        <v>314</v>
      </c>
      <c r="R268" s="2" t="s">
        <v>314</v>
      </c>
      <c r="S268" s="2" t="s">
        <v>314</v>
      </c>
      <c r="T268" s="2" t="s">
        <v>311</v>
      </c>
      <c r="U268" s="2" t="s">
        <v>311</v>
      </c>
      <c r="V268" s="2" t="s">
        <v>316</v>
      </c>
      <c r="W268" s="2" t="s">
        <v>315</v>
      </c>
      <c r="X268" s="2" t="s">
        <v>318</v>
      </c>
      <c r="Y268" s="2" t="s">
        <v>315</v>
      </c>
      <c r="Z268" s="2" t="s">
        <v>312</v>
      </c>
      <c r="AA268" s="2" t="s">
        <v>321</v>
      </c>
      <c r="AB268" s="2" t="s">
        <v>323</v>
      </c>
      <c r="AC268" s="2" t="s">
        <v>1101</v>
      </c>
      <c r="AD268" s="2" t="s">
        <v>1105</v>
      </c>
    </row>
    <row r="269" spans="1:30" hidden="1" x14ac:dyDescent="0.3">
      <c r="A269" s="1">
        <v>45834.894201388888</v>
      </c>
      <c r="B269" s="2" t="s">
        <v>74</v>
      </c>
      <c r="C269" s="2" t="s">
        <v>671</v>
      </c>
      <c r="D269" s="2">
        <v>26</v>
      </c>
      <c r="E269" s="2" t="s">
        <v>231</v>
      </c>
      <c r="F269" s="2" t="s">
        <v>235</v>
      </c>
      <c r="G269" s="2" t="s">
        <v>240</v>
      </c>
      <c r="H269" s="2" t="s">
        <v>245</v>
      </c>
      <c r="I269" s="2">
        <v>7</v>
      </c>
      <c r="J269" s="2" t="s">
        <v>276</v>
      </c>
      <c r="K269" s="2" t="s">
        <v>308</v>
      </c>
      <c r="L269" s="2">
        <v>2</v>
      </c>
      <c r="M269" s="2" t="s">
        <v>243</v>
      </c>
      <c r="N269" s="2">
        <v>2</v>
      </c>
      <c r="O269" s="2" t="s">
        <v>311</v>
      </c>
      <c r="P269" s="2" t="s">
        <v>312</v>
      </c>
      <c r="Q269" s="2" t="s">
        <v>313</v>
      </c>
      <c r="R269" s="2" t="s">
        <v>313</v>
      </c>
      <c r="S269" s="2" t="s">
        <v>314</v>
      </c>
      <c r="T269" s="2" t="s">
        <v>313</v>
      </c>
      <c r="U269" s="2" t="s">
        <v>314</v>
      </c>
      <c r="V269" s="2" t="s">
        <v>316</v>
      </c>
      <c r="W269" s="2" t="s">
        <v>315</v>
      </c>
      <c r="X269" s="2" t="s">
        <v>319</v>
      </c>
      <c r="Y269" s="2" t="s">
        <v>315</v>
      </c>
      <c r="Z269" s="2" t="s">
        <v>314</v>
      </c>
      <c r="AA269" s="2" t="s">
        <v>322</v>
      </c>
      <c r="AB269" s="2" t="s">
        <v>325</v>
      </c>
      <c r="AC269" s="2" t="s">
        <v>370</v>
      </c>
      <c r="AD269" s="2" t="s">
        <v>470</v>
      </c>
    </row>
    <row r="270" spans="1:30" hidden="1" x14ac:dyDescent="0.3">
      <c r="A270" s="1">
        <v>45738.393576388888</v>
      </c>
      <c r="B270" s="2" t="s">
        <v>48</v>
      </c>
      <c r="C270" s="2" t="s">
        <v>162</v>
      </c>
      <c r="D270" s="2">
        <v>27</v>
      </c>
      <c r="E270" s="2" t="s">
        <v>231</v>
      </c>
      <c r="F270" s="2" t="s">
        <v>235</v>
      </c>
      <c r="G270" s="2" t="s">
        <v>241</v>
      </c>
      <c r="H270" s="2" t="s">
        <v>244</v>
      </c>
      <c r="I270" s="2">
        <v>30</v>
      </c>
      <c r="J270" s="2" t="s">
        <v>259</v>
      </c>
      <c r="K270" s="2" t="s">
        <v>308</v>
      </c>
      <c r="L270" s="2">
        <v>12</v>
      </c>
      <c r="M270" s="2" t="s">
        <v>262</v>
      </c>
      <c r="N270" s="2">
        <v>0</v>
      </c>
      <c r="O270" s="2" t="s">
        <v>312</v>
      </c>
      <c r="P270" s="2" t="s">
        <v>312</v>
      </c>
      <c r="Q270" s="2" t="s">
        <v>311</v>
      </c>
      <c r="R270" s="2" t="s">
        <v>311</v>
      </c>
      <c r="S270" s="2" t="s">
        <v>314</v>
      </c>
      <c r="T270" s="2" t="s">
        <v>312</v>
      </c>
      <c r="U270" s="2" t="s">
        <v>312</v>
      </c>
      <c r="V270" s="2" t="s">
        <v>316</v>
      </c>
      <c r="W270" s="2" t="s">
        <v>315</v>
      </c>
      <c r="X270" s="2" t="s">
        <v>318</v>
      </c>
      <c r="Y270" s="2" t="s">
        <v>315</v>
      </c>
      <c r="Z270" s="2" t="s">
        <v>314</v>
      </c>
      <c r="AA270" s="2" t="s">
        <v>321</v>
      </c>
      <c r="AB270" s="2" t="s">
        <v>323</v>
      </c>
      <c r="AC270" s="2" t="s">
        <v>344</v>
      </c>
      <c r="AD270" s="2" t="s">
        <v>444</v>
      </c>
    </row>
    <row r="271" spans="1:30" hidden="1" x14ac:dyDescent="0.3">
      <c r="A271" s="1">
        <v>45737.718506944453</v>
      </c>
      <c r="B271" s="2" t="s">
        <v>50</v>
      </c>
      <c r="C271" s="2" t="s">
        <v>924</v>
      </c>
      <c r="D271" s="2">
        <v>30</v>
      </c>
      <c r="E271" s="2" t="s">
        <v>231</v>
      </c>
      <c r="F271" s="2" t="s">
        <v>234</v>
      </c>
      <c r="G271" s="2" t="s">
        <v>238</v>
      </c>
      <c r="H271" s="2" t="s">
        <v>245</v>
      </c>
      <c r="I271" s="2">
        <v>10</v>
      </c>
      <c r="J271" s="2" t="s">
        <v>260</v>
      </c>
      <c r="K271" s="2" t="s">
        <v>309</v>
      </c>
      <c r="L271" s="2">
        <v>10</v>
      </c>
      <c r="M271" s="2" t="s">
        <v>275</v>
      </c>
      <c r="N271" s="2">
        <v>0</v>
      </c>
      <c r="O271" s="2" t="s">
        <v>314</v>
      </c>
      <c r="P271" s="2" t="s">
        <v>311</v>
      </c>
      <c r="Q271" s="2" t="s">
        <v>312</v>
      </c>
      <c r="R271" s="2" t="s">
        <v>314</v>
      </c>
      <c r="S271" s="2" t="s">
        <v>314</v>
      </c>
      <c r="T271" s="2" t="s">
        <v>311</v>
      </c>
      <c r="U271" s="2" t="s">
        <v>314</v>
      </c>
      <c r="V271" s="2" t="s">
        <v>316</v>
      </c>
      <c r="W271" s="2" t="s">
        <v>315</v>
      </c>
      <c r="X271" s="2" t="s">
        <v>317</v>
      </c>
      <c r="Y271" s="2" t="s">
        <v>316</v>
      </c>
      <c r="Z271" s="2" t="s">
        <v>314</v>
      </c>
      <c r="AA271" s="2" t="s">
        <v>322</v>
      </c>
      <c r="AB271" s="2" t="s">
        <v>325</v>
      </c>
      <c r="AC271" s="2" t="s">
        <v>346</v>
      </c>
      <c r="AD271" s="2" t="s">
        <v>446</v>
      </c>
    </row>
    <row r="272" spans="1:30" hidden="1" x14ac:dyDescent="0.3">
      <c r="A272" s="2" t="s">
        <v>30</v>
      </c>
      <c r="B272" s="2" t="s">
        <v>597</v>
      </c>
      <c r="C272" s="2" t="s">
        <v>941</v>
      </c>
      <c r="D272" s="2">
        <v>30</v>
      </c>
      <c r="E272" s="2" t="s">
        <v>231</v>
      </c>
      <c r="F272" s="2" t="s">
        <v>233</v>
      </c>
      <c r="G272" s="2" t="s">
        <v>239</v>
      </c>
      <c r="H272" s="2" t="s">
        <v>245</v>
      </c>
      <c r="I272" s="2">
        <v>15</v>
      </c>
      <c r="J272" s="2" t="s">
        <v>243</v>
      </c>
      <c r="K272" s="2" t="s">
        <v>308</v>
      </c>
      <c r="L272" s="2">
        <v>16</v>
      </c>
      <c r="M272" s="2" t="s">
        <v>241</v>
      </c>
      <c r="N272" s="2">
        <v>3</v>
      </c>
      <c r="O272" s="2" t="s">
        <v>311</v>
      </c>
      <c r="P272" s="2" t="s">
        <v>313</v>
      </c>
      <c r="Q272" s="2" t="s">
        <v>311</v>
      </c>
      <c r="R272" s="2" t="s">
        <v>311</v>
      </c>
      <c r="S272" s="2" t="s">
        <v>313</v>
      </c>
      <c r="T272" s="2" t="s">
        <v>314</v>
      </c>
      <c r="U272" s="2" t="s">
        <v>314</v>
      </c>
      <c r="V272" s="2" t="s">
        <v>316</v>
      </c>
      <c r="W272" s="2" t="s">
        <v>315</v>
      </c>
      <c r="X272" s="2" t="s">
        <v>320</v>
      </c>
      <c r="Y272" s="2" t="s">
        <v>316</v>
      </c>
      <c r="Z272" s="2" t="s">
        <v>314</v>
      </c>
      <c r="AA272" s="2" t="s">
        <v>1095</v>
      </c>
      <c r="AB272" s="2" t="s">
        <v>325</v>
      </c>
      <c r="AC272" s="2" t="s">
        <v>1103</v>
      </c>
      <c r="AD272" s="2" t="s">
        <v>1105</v>
      </c>
    </row>
    <row r="273" spans="1:30" x14ac:dyDescent="0.3">
      <c r="A273" s="1">
        <v>45773.261944444443</v>
      </c>
      <c r="B273" s="2" t="s">
        <v>46</v>
      </c>
      <c r="C273" s="2" t="s">
        <v>816</v>
      </c>
      <c r="D273" s="2">
        <v>37</v>
      </c>
      <c r="E273" s="2" t="s">
        <v>232</v>
      </c>
      <c r="F273" s="2" t="s">
        <v>236</v>
      </c>
      <c r="G273" s="2" t="s">
        <v>243</v>
      </c>
      <c r="H273" s="2" t="s">
        <v>245</v>
      </c>
      <c r="I273" s="2">
        <v>1</v>
      </c>
      <c r="J273" s="2" t="s">
        <v>257</v>
      </c>
      <c r="K273" s="2" t="s">
        <v>309</v>
      </c>
      <c r="L273" s="2">
        <v>13</v>
      </c>
      <c r="M273" s="2" t="s">
        <v>241</v>
      </c>
      <c r="N273" s="2">
        <v>1</v>
      </c>
      <c r="O273" s="2" t="s">
        <v>313</v>
      </c>
      <c r="P273" s="2" t="s">
        <v>311</v>
      </c>
      <c r="Q273" s="2" t="s">
        <v>313</v>
      </c>
      <c r="R273" s="2" t="s">
        <v>313</v>
      </c>
      <c r="S273" s="2" t="s">
        <v>314</v>
      </c>
      <c r="T273" s="2" t="s">
        <v>313</v>
      </c>
      <c r="U273" s="2" t="s">
        <v>314</v>
      </c>
      <c r="V273" s="2" t="s">
        <v>316</v>
      </c>
      <c r="W273" s="2" t="s">
        <v>315</v>
      </c>
      <c r="X273" s="2" t="s">
        <v>318</v>
      </c>
      <c r="Y273" s="2" t="s">
        <v>316</v>
      </c>
      <c r="Z273" s="2" t="s">
        <v>314</v>
      </c>
      <c r="AA273" s="2" t="s">
        <v>316</v>
      </c>
      <c r="AB273" s="2" t="s">
        <v>325</v>
      </c>
      <c r="AC273" s="2" t="s">
        <v>342</v>
      </c>
      <c r="AD273" s="2" t="s">
        <v>442</v>
      </c>
    </row>
    <row r="274" spans="1:30" hidden="1" x14ac:dyDescent="0.3">
      <c r="A274" s="2" t="s">
        <v>30</v>
      </c>
      <c r="B274" s="2" t="s">
        <v>617</v>
      </c>
      <c r="C274" s="2" t="s">
        <v>767</v>
      </c>
      <c r="D274" s="2">
        <v>38</v>
      </c>
      <c r="E274" s="2" t="s">
        <v>231</v>
      </c>
      <c r="F274" s="2" t="s">
        <v>235</v>
      </c>
      <c r="G274" s="2" t="s">
        <v>238</v>
      </c>
      <c r="H274" s="2" t="s">
        <v>246</v>
      </c>
      <c r="I274" s="2">
        <v>23</v>
      </c>
      <c r="J274" s="2" t="s">
        <v>1026</v>
      </c>
      <c r="K274" s="2" t="s">
        <v>310</v>
      </c>
      <c r="L274" s="2">
        <v>14</v>
      </c>
      <c r="M274" s="2" t="s">
        <v>243</v>
      </c>
      <c r="N274" s="2">
        <v>2</v>
      </c>
      <c r="O274" s="2" t="s">
        <v>311</v>
      </c>
      <c r="P274" s="2" t="s">
        <v>314</v>
      </c>
      <c r="Q274" s="2" t="s">
        <v>311</v>
      </c>
      <c r="R274" s="2" t="s">
        <v>311</v>
      </c>
      <c r="S274" s="2" t="s">
        <v>314</v>
      </c>
      <c r="T274" s="2" t="s">
        <v>312</v>
      </c>
      <c r="U274" s="2" t="s">
        <v>312</v>
      </c>
      <c r="V274" s="2" t="s">
        <v>316</v>
      </c>
      <c r="W274" s="2" t="s">
        <v>315</v>
      </c>
      <c r="X274" s="2" t="s">
        <v>317</v>
      </c>
      <c r="Y274" s="2" t="s">
        <v>315</v>
      </c>
      <c r="Z274" s="2" t="s">
        <v>314</v>
      </c>
      <c r="AA274" s="2" t="s">
        <v>316</v>
      </c>
      <c r="AB274" s="2" t="s">
        <v>325</v>
      </c>
      <c r="AC274" s="2" t="s">
        <v>1099</v>
      </c>
      <c r="AD274" s="2" t="s">
        <v>1105</v>
      </c>
    </row>
    <row r="275" spans="1:30" x14ac:dyDescent="0.3">
      <c r="A275" s="1">
        <v>45725.541631944441</v>
      </c>
      <c r="B275" s="2" t="s">
        <v>51</v>
      </c>
      <c r="C275" s="2" t="s">
        <v>734</v>
      </c>
      <c r="D275" s="2">
        <v>39</v>
      </c>
      <c r="E275" s="2" t="s">
        <v>232</v>
      </c>
      <c r="F275" s="2" t="s">
        <v>235</v>
      </c>
      <c r="G275" s="2" t="s">
        <v>240</v>
      </c>
      <c r="H275" s="2" t="s">
        <v>244</v>
      </c>
      <c r="I275" s="2">
        <v>25</v>
      </c>
      <c r="J275" s="2" t="s">
        <v>261</v>
      </c>
      <c r="K275" s="2" t="s">
        <v>309</v>
      </c>
      <c r="L275" s="2">
        <v>5</v>
      </c>
      <c r="M275" s="2" t="s">
        <v>255</v>
      </c>
      <c r="N275" s="2">
        <v>0</v>
      </c>
      <c r="O275" s="2" t="s">
        <v>312</v>
      </c>
      <c r="P275" s="2" t="s">
        <v>311</v>
      </c>
      <c r="Q275" s="2" t="s">
        <v>314</v>
      </c>
      <c r="R275" s="2" t="s">
        <v>311</v>
      </c>
      <c r="S275" s="2" t="s">
        <v>311</v>
      </c>
      <c r="T275" s="2" t="s">
        <v>314</v>
      </c>
      <c r="U275" s="2" t="s">
        <v>312</v>
      </c>
      <c r="V275" s="2" t="s">
        <v>316</v>
      </c>
      <c r="W275" s="2" t="s">
        <v>315</v>
      </c>
      <c r="X275" s="2" t="s">
        <v>319</v>
      </c>
      <c r="Y275" s="2" t="s">
        <v>316</v>
      </c>
      <c r="Z275" s="2" t="s">
        <v>314</v>
      </c>
      <c r="AA275" s="2" t="s">
        <v>322</v>
      </c>
      <c r="AB275" s="2" t="s">
        <v>325</v>
      </c>
      <c r="AC275" s="2" t="s">
        <v>347</v>
      </c>
      <c r="AD275" s="2" t="s">
        <v>447</v>
      </c>
    </row>
    <row r="276" spans="1:30" x14ac:dyDescent="0.3">
      <c r="A276" s="2" t="s">
        <v>30</v>
      </c>
      <c r="B276" s="2" t="s">
        <v>639</v>
      </c>
      <c r="C276" s="2" t="s">
        <v>695</v>
      </c>
      <c r="D276" s="2">
        <v>40</v>
      </c>
      <c r="E276" s="2" t="s">
        <v>232</v>
      </c>
      <c r="F276" s="2" t="s">
        <v>235</v>
      </c>
      <c r="G276" s="2" t="s">
        <v>240</v>
      </c>
      <c r="H276" s="2" t="s">
        <v>245</v>
      </c>
      <c r="I276" s="2">
        <v>22</v>
      </c>
      <c r="J276" s="2" t="s">
        <v>270</v>
      </c>
      <c r="K276" s="2" t="s">
        <v>310</v>
      </c>
      <c r="L276" s="2">
        <v>14</v>
      </c>
      <c r="M276" s="2" t="s">
        <v>249</v>
      </c>
      <c r="N276" s="2">
        <v>1</v>
      </c>
      <c r="O276" s="2" t="s">
        <v>311</v>
      </c>
      <c r="P276" s="2" t="s">
        <v>314</v>
      </c>
      <c r="Q276" s="2" t="s">
        <v>312</v>
      </c>
      <c r="R276" s="2" t="s">
        <v>313</v>
      </c>
      <c r="S276" s="2" t="s">
        <v>313</v>
      </c>
      <c r="T276" s="2" t="s">
        <v>311</v>
      </c>
      <c r="U276" s="2" t="s">
        <v>311</v>
      </c>
      <c r="V276" s="2" t="s">
        <v>316</v>
      </c>
      <c r="W276" s="2" t="s">
        <v>315</v>
      </c>
      <c r="X276" s="2" t="s">
        <v>319</v>
      </c>
      <c r="Y276" s="2" t="s">
        <v>316</v>
      </c>
      <c r="Z276" s="2" t="s">
        <v>314</v>
      </c>
      <c r="AA276" s="2" t="s">
        <v>1095</v>
      </c>
      <c r="AB276" s="2" t="s">
        <v>324</v>
      </c>
      <c r="AC276" s="2" t="s">
        <v>1099</v>
      </c>
      <c r="AD276" s="2" t="s">
        <v>1105</v>
      </c>
    </row>
    <row r="277" spans="1:30" hidden="1" x14ac:dyDescent="0.3">
      <c r="A277" s="2" t="s">
        <v>30</v>
      </c>
      <c r="B277" s="2" t="s">
        <v>631</v>
      </c>
      <c r="C277" s="2" t="s">
        <v>866</v>
      </c>
      <c r="D277" s="2">
        <v>40</v>
      </c>
      <c r="E277" s="2" t="s">
        <v>231</v>
      </c>
      <c r="F277" s="2" t="s">
        <v>233</v>
      </c>
      <c r="G277" s="2" t="s">
        <v>243</v>
      </c>
      <c r="H277" s="2" t="s">
        <v>246</v>
      </c>
      <c r="I277" s="2">
        <v>19</v>
      </c>
      <c r="J277" s="2" t="s">
        <v>251</v>
      </c>
      <c r="K277" s="2" t="s">
        <v>309</v>
      </c>
      <c r="L277" s="2">
        <v>9</v>
      </c>
      <c r="M277" s="2" t="s">
        <v>255</v>
      </c>
      <c r="N277" s="2">
        <v>0</v>
      </c>
      <c r="O277" s="2" t="s">
        <v>311</v>
      </c>
      <c r="P277" s="2" t="s">
        <v>314</v>
      </c>
      <c r="Q277" s="2" t="s">
        <v>314</v>
      </c>
      <c r="R277" s="2" t="s">
        <v>313</v>
      </c>
      <c r="S277" s="2" t="s">
        <v>313</v>
      </c>
      <c r="T277" s="2" t="s">
        <v>311</v>
      </c>
      <c r="U277" s="2" t="s">
        <v>311</v>
      </c>
      <c r="V277" s="2" t="s">
        <v>316</v>
      </c>
      <c r="W277" s="2" t="s">
        <v>315</v>
      </c>
      <c r="X277" s="2" t="s">
        <v>320</v>
      </c>
      <c r="Y277" s="2" t="s">
        <v>315</v>
      </c>
      <c r="Z277" s="2" t="s">
        <v>314</v>
      </c>
      <c r="AA277" s="2" t="s">
        <v>315</v>
      </c>
      <c r="AB277" s="2" t="s">
        <v>325</v>
      </c>
      <c r="AC277" s="2" t="s">
        <v>1097</v>
      </c>
      <c r="AD277" s="2" t="s">
        <v>1105</v>
      </c>
    </row>
    <row r="278" spans="1:30" x14ac:dyDescent="0.3">
      <c r="A278" s="2" t="s">
        <v>30</v>
      </c>
      <c r="B278" s="2" t="s">
        <v>576</v>
      </c>
      <c r="C278" s="2" t="s">
        <v>925</v>
      </c>
      <c r="D278" s="2">
        <v>42</v>
      </c>
      <c r="E278" s="2" t="s">
        <v>232</v>
      </c>
      <c r="F278" s="2" t="s">
        <v>235</v>
      </c>
      <c r="G278" s="2" t="s">
        <v>243</v>
      </c>
      <c r="H278" s="2" t="s">
        <v>244</v>
      </c>
      <c r="I278" s="2">
        <v>8</v>
      </c>
      <c r="J278" s="2" t="s">
        <v>1021</v>
      </c>
      <c r="K278" s="2" t="s">
        <v>310</v>
      </c>
      <c r="L278" s="2">
        <v>8</v>
      </c>
      <c r="M278" s="2" t="s">
        <v>251</v>
      </c>
      <c r="N278" s="2">
        <v>2</v>
      </c>
      <c r="O278" s="2" t="s">
        <v>314</v>
      </c>
      <c r="P278" s="2" t="s">
        <v>313</v>
      </c>
      <c r="Q278" s="2" t="s">
        <v>312</v>
      </c>
      <c r="R278" s="2" t="s">
        <v>313</v>
      </c>
      <c r="S278" s="2" t="s">
        <v>311</v>
      </c>
      <c r="T278" s="2" t="s">
        <v>311</v>
      </c>
      <c r="U278" s="2" t="s">
        <v>311</v>
      </c>
      <c r="V278" s="2" t="s">
        <v>316</v>
      </c>
      <c r="W278" s="2" t="s">
        <v>315</v>
      </c>
      <c r="X278" s="2" t="s">
        <v>319</v>
      </c>
      <c r="Y278" s="2" t="s">
        <v>315</v>
      </c>
      <c r="Z278" s="2" t="s">
        <v>314</v>
      </c>
      <c r="AA278" s="2" t="s">
        <v>316</v>
      </c>
      <c r="AB278" s="2" t="s">
        <v>324</v>
      </c>
      <c r="AC278" s="2" t="s">
        <v>1098</v>
      </c>
      <c r="AD278" s="2" t="s">
        <v>1105</v>
      </c>
    </row>
    <row r="279" spans="1:30" hidden="1" x14ac:dyDescent="0.3">
      <c r="A279" s="2" t="s">
        <v>30</v>
      </c>
      <c r="B279" s="2" t="s">
        <v>615</v>
      </c>
      <c r="C279" s="2" t="s">
        <v>229</v>
      </c>
      <c r="D279" s="2">
        <v>44</v>
      </c>
      <c r="E279" s="2" t="s">
        <v>231</v>
      </c>
      <c r="F279" s="2" t="s">
        <v>233</v>
      </c>
      <c r="G279" s="2" t="s">
        <v>238</v>
      </c>
      <c r="H279" s="2" t="s">
        <v>246</v>
      </c>
      <c r="I279" s="2">
        <v>19</v>
      </c>
      <c r="J279" s="2" t="s">
        <v>265</v>
      </c>
      <c r="K279" s="2" t="s">
        <v>308</v>
      </c>
      <c r="L279" s="2">
        <v>2</v>
      </c>
      <c r="M279" s="2" t="s">
        <v>255</v>
      </c>
      <c r="N279" s="2">
        <v>3</v>
      </c>
      <c r="O279" s="2" t="s">
        <v>312</v>
      </c>
      <c r="P279" s="2" t="s">
        <v>312</v>
      </c>
      <c r="Q279" s="2" t="s">
        <v>314</v>
      </c>
      <c r="R279" s="2" t="s">
        <v>313</v>
      </c>
      <c r="S279" s="2" t="s">
        <v>311</v>
      </c>
      <c r="T279" s="2" t="s">
        <v>314</v>
      </c>
      <c r="U279" s="2" t="s">
        <v>314</v>
      </c>
      <c r="V279" s="2" t="s">
        <v>316</v>
      </c>
      <c r="W279" s="2" t="s">
        <v>315</v>
      </c>
      <c r="X279" s="2" t="s">
        <v>320</v>
      </c>
      <c r="Y279" s="2" t="s">
        <v>316</v>
      </c>
      <c r="Z279" s="2" t="s">
        <v>314</v>
      </c>
      <c r="AA279" s="2" t="s">
        <v>321</v>
      </c>
      <c r="AB279" s="2" t="s">
        <v>325</v>
      </c>
      <c r="AC279" s="2" t="s">
        <v>1096</v>
      </c>
      <c r="AD279" s="2" t="s">
        <v>1105</v>
      </c>
    </row>
    <row r="280" spans="1:30" x14ac:dyDescent="0.3">
      <c r="A280" s="2" t="s">
        <v>30</v>
      </c>
      <c r="B280" s="2" t="s">
        <v>574</v>
      </c>
      <c r="C280" s="2" t="s">
        <v>782</v>
      </c>
      <c r="D280" s="2">
        <v>45</v>
      </c>
      <c r="E280" s="2" t="s">
        <v>232</v>
      </c>
      <c r="F280" s="2" t="s">
        <v>235</v>
      </c>
      <c r="G280" s="2" t="s">
        <v>239</v>
      </c>
      <c r="H280" s="2" t="s">
        <v>246</v>
      </c>
      <c r="I280" s="2">
        <v>13</v>
      </c>
      <c r="J280" s="2" t="s">
        <v>262</v>
      </c>
      <c r="K280" s="2" t="s">
        <v>310</v>
      </c>
      <c r="L280" s="2">
        <v>16</v>
      </c>
      <c r="M280" s="2" t="s">
        <v>255</v>
      </c>
      <c r="N280" s="2">
        <v>3</v>
      </c>
      <c r="O280" s="2" t="s">
        <v>312</v>
      </c>
      <c r="P280" s="2" t="s">
        <v>311</v>
      </c>
      <c r="Q280" s="2" t="s">
        <v>311</v>
      </c>
      <c r="R280" s="2" t="s">
        <v>314</v>
      </c>
      <c r="S280" s="2" t="s">
        <v>314</v>
      </c>
      <c r="T280" s="2" t="s">
        <v>314</v>
      </c>
      <c r="U280" s="2" t="s">
        <v>314</v>
      </c>
      <c r="V280" s="2" t="s">
        <v>316</v>
      </c>
      <c r="W280" s="2" t="s">
        <v>315</v>
      </c>
      <c r="X280" s="2" t="s">
        <v>320</v>
      </c>
      <c r="Y280" s="2" t="s">
        <v>316</v>
      </c>
      <c r="Z280" s="2" t="s">
        <v>314</v>
      </c>
      <c r="AA280" s="2" t="s">
        <v>316</v>
      </c>
      <c r="AB280" s="2" t="s">
        <v>324</v>
      </c>
      <c r="AC280" s="2" t="s">
        <v>1098</v>
      </c>
      <c r="AD280" s="2" t="s">
        <v>1105</v>
      </c>
    </row>
    <row r="281" spans="1:30" hidden="1" x14ac:dyDescent="0.3">
      <c r="A281" s="2" t="s">
        <v>30</v>
      </c>
      <c r="B281" s="2" t="s">
        <v>586</v>
      </c>
      <c r="C281" s="2" t="s">
        <v>788</v>
      </c>
      <c r="D281" s="2">
        <v>48</v>
      </c>
      <c r="E281" s="2" t="s">
        <v>231</v>
      </c>
      <c r="F281" s="2" t="s">
        <v>233</v>
      </c>
      <c r="G281" s="2" t="s">
        <v>239</v>
      </c>
      <c r="H281" s="2" t="s">
        <v>245</v>
      </c>
      <c r="I281" s="2">
        <v>26</v>
      </c>
      <c r="J281" s="2" t="s">
        <v>1006</v>
      </c>
      <c r="K281" s="2" t="s">
        <v>308</v>
      </c>
      <c r="L281" s="2">
        <v>11</v>
      </c>
      <c r="M281" s="2" t="s">
        <v>243</v>
      </c>
      <c r="N281" s="2">
        <v>2</v>
      </c>
      <c r="O281" s="2" t="s">
        <v>312</v>
      </c>
      <c r="P281" s="2" t="s">
        <v>312</v>
      </c>
      <c r="Q281" s="2" t="s">
        <v>314</v>
      </c>
      <c r="R281" s="2" t="s">
        <v>313</v>
      </c>
      <c r="S281" s="2" t="s">
        <v>313</v>
      </c>
      <c r="T281" s="2" t="s">
        <v>314</v>
      </c>
      <c r="U281" s="2" t="s">
        <v>314</v>
      </c>
      <c r="V281" s="2" t="s">
        <v>316</v>
      </c>
      <c r="W281" s="2" t="s">
        <v>315</v>
      </c>
      <c r="X281" s="2" t="s">
        <v>317</v>
      </c>
      <c r="Y281" s="2" t="s">
        <v>316</v>
      </c>
      <c r="Z281" s="2" t="s">
        <v>314</v>
      </c>
      <c r="AA281" s="2" t="s">
        <v>1095</v>
      </c>
      <c r="AB281" s="2" t="s">
        <v>323</v>
      </c>
      <c r="AC281" s="2" t="s">
        <v>1101</v>
      </c>
      <c r="AD281" s="2" t="s">
        <v>1105</v>
      </c>
    </row>
    <row r="282" spans="1:30" x14ac:dyDescent="0.3">
      <c r="A282" s="2" t="s">
        <v>30</v>
      </c>
      <c r="B282" s="2" t="s">
        <v>553</v>
      </c>
      <c r="C282" s="2" t="s">
        <v>1114</v>
      </c>
      <c r="D282" s="2">
        <v>49</v>
      </c>
      <c r="E282" s="2" t="s">
        <v>232</v>
      </c>
      <c r="F282" s="2" t="s">
        <v>233</v>
      </c>
      <c r="G282" s="2" t="s">
        <v>240</v>
      </c>
      <c r="H282" s="2" t="s">
        <v>246</v>
      </c>
      <c r="I282" s="2">
        <v>13</v>
      </c>
      <c r="J282" s="2" t="s">
        <v>241</v>
      </c>
      <c r="K282" s="2" t="s">
        <v>308</v>
      </c>
      <c r="L282" s="2">
        <v>12</v>
      </c>
      <c r="M282" s="2" t="s">
        <v>249</v>
      </c>
      <c r="N282" s="2">
        <v>2</v>
      </c>
      <c r="O282" s="2" t="s">
        <v>312</v>
      </c>
      <c r="P282" s="2" t="s">
        <v>313</v>
      </c>
      <c r="Q282" s="2" t="s">
        <v>312</v>
      </c>
      <c r="R282" s="2" t="s">
        <v>312</v>
      </c>
      <c r="S282" s="2" t="s">
        <v>314</v>
      </c>
      <c r="T282" s="2" t="s">
        <v>313</v>
      </c>
      <c r="U282" s="2" t="s">
        <v>313</v>
      </c>
      <c r="V282" s="2" t="s">
        <v>316</v>
      </c>
      <c r="W282" s="2" t="s">
        <v>315</v>
      </c>
      <c r="X282" s="2" t="s">
        <v>319</v>
      </c>
      <c r="Y282" s="2" t="s">
        <v>315</v>
      </c>
      <c r="Z282" s="2" t="s">
        <v>314</v>
      </c>
      <c r="AA282" s="2" t="s">
        <v>1095</v>
      </c>
      <c r="AB282" s="2" t="s">
        <v>324</v>
      </c>
      <c r="AC282" s="2" t="s">
        <v>1102</v>
      </c>
      <c r="AD282" s="2" t="s">
        <v>1105</v>
      </c>
    </row>
    <row r="283" spans="1:30" hidden="1" x14ac:dyDescent="0.3">
      <c r="A283" s="2" t="s">
        <v>30</v>
      </c>
      <c r="B283" s="2" t="s">
        <v>563</v>
      </c>
      <c r="C283" s="2" t="s">
        <v>208</v>
      </c>
      <c r="D283" s="2">
        <v>49</v>
      </c>
      <c r="E283" s="2" t="s">
        <v>231</v>
      </c>
      <c r="F283" s="2" t="s">
        <v>234</v>
      </c>
      <c r="G283" s="2" t="s">
        <v>242</v>
      </c>
      <c r="H283" s="2" t="s">
        <v>245</v>
      </c>
      <c r="I283" s="2">
        <v>26</v>
      </c>
      <c r="J283" s="2" t="s">
        <v>977</v>
      </c>
      <c r="K283" s="2" t="s">
        <v>309</v>
      </c>
      <c r="L283" s="2">
        <v>20</v>
      </c>
      <c r="M283" s="2" t="s">
        <v>275</v>
      </c>
      <c r="N283" s="2">
        <v>0</v>
      </c>
      <c r="O283" s="2" t="s">
        <v>311</v>
      </c>
      <c r="P283" s="2" t="s">
        <v>311</v>
      </c>
      <c r="Q283" s="2" t="s">
        <v>314</v>
      </c>
      <c r="R283" s="2" t="s">
        <v>313</v>
      </c>
      <c r="S283" s="2" t="s">
        <v>312</v>
      </c>
      <c r="T283" s="2" t="s">
        <v>311</v>
      </c>
      <c r="U283" s="2" t="s">
        <v>311</v>
      </c>
      <c r="V283" s="2" t="s">
        <v>316</v>
      </c>
      <c r="W283" s="2" t="s">
        <v>315</v>
      </c>
      <c r="X283" s="2" t="s">
        <v>319</v>
      </c>
      <c r="Y283" s="2" t="s">
        <v>316</v>
      </c>
      <c r="Z283" s="2" t="s">
        <v>314</v>
      </c>
      <c r="AA283" s="2" t="s">
        <v>315</v>
      </c>
      <c r="AB283" s="2" t="s">
        <v>323</v>
      </c>
      <c r="AC283" s="2" t="s">
        <v>1100</v>
      </c>
      <c r="AD283" s="2" t="s">
        <v>1105</v>
      </c>
    </row>
    <row r="284" spans="1:30" x14ac:dyDescent="0.3">
      <c r="A284" s="2" t="s">
        <v>30</v>
      </c>
      <c r="B284" s="2" t="s">
        <v>555</v>
      </c>
      <c r="C284" s="2" t="s">
        <v>949</v>
      </c>
      <c r="D284" s="2">
        <v>51</v>
      </c>
      <c r="E284" s="2" t="s">
        <v>232</v>
      </c>
      <c r="F284" s="2" t="s">
        <v>236</v>
      </c>
      <c r="G284" s="2" t="s">
        <v>241</v>
      </c>
      <c r="H284" s="2" t="s">
        <v>246</v>
      </c>
      <c r="I284" s="2">
        <v>20</v>
      </c>
      <c r="J284" s="2" t="s">
        <v>253</v>
      </c>
      <c r="K284" s="2" t="s">
        <v>310</v>
      </c>
      <c r="L284" s="2">
        <v>7</v>
      </c>
      <c r="M284" s="2" t="s">
        <v>262</v>
      </c>
      <c r="N284" s="2">
        <v>3</v>
      </c>
      <c r="O284" s="2" t="s">
        <v>312</v>
      </c>
      <c r="P284" s="2" t="s">
        <v>312</v>
      </c>
      <c r="Q284" s="2" t="s">
        <v>312</v>
      </c>
      <c r="R284" s="2" t="s">
        <v>311</v>
      </c>
      <c r="S284" s="2" t="s">
        <v>311</v>
      </c>
      <c r="T284" s="2" t="s">
        <v>314</v>
      </c>
      <c r="U284" s="2" t="s">
        <v>314</v>
      </c>
      <c r="V284" s="2" t="s">
        <v>316</v>
      </c>
      <c r="W284" s="2" t="s">
        <v>315</v>
      </c>
      <c r="X284" s="2" t="s">
        <v>317</v>
      </c>
      <c r="Y284" s="2" t="s">
        <v>315</v>
      </c>
      <c r="Z284" s="2" t="s">
        <v>314</v>
      </c>
      <c r="AA284" s="2" t="s">
        <v>321</v>
      </c>
      <c r="AB284" s="2" t="s">
        <v>325</v>
      </c>
      <c r="AC284" s="2" t="s">
        <v>1102</v>
      </c>
      <c r="AD284" s="2" t="s">
        <v>1105</v>
      </c>
    </row>
    <row r="285" spans="1:30" x14ac:dyDescent="0.3">
      <c r="A285" s="2" t="s">
        <v>30</v>
      </c>
      <c r="B285" s="2" t="s">
        <v>647</v>
      </c>
      <c r="C285" s="2" t="s">
        <v>182</v>
      </c>
      <c r="D285" s="2">
        <v>52</v>
      </c>
      <c r="E285" s="2" t="s">
        <v>232</v>
      </c>
      <c r="F285" s="2" t="s">
        <v>234</v>
      </c>
      <c r="G285" s="2" t="s">
        <v>238</v>
      </c>
      <c r="H285" s="2" t="s">
        <v>246</v>
      </c>
      <c r="I285" s="2">
        <v>24</v>
      </c>
      <c r="J285" s="2" t="s">
        <v>1061</v>
      </c>
      <c r="K285" s="2" t="s">
        <v>310</v>
      </c>
      <c r="L285" s="2">
        <v>6</v>
      </c>
      <c r="M285" s="2" t="s">
        <v>251</v>
      </c>
      <c r="N285" s="2">
        <v>0</v>
      </c>
      <c r="O285" s="2" t="s">
        <v>312</v>
      </c>
      <c r="P285" s="2" t="s">
        <v>311</v>
      </c>
      <c r="Q285" s="2" t="s">
        <v>314</v>
      </c>
      <c r="R285" s="2" t="s">
        <v>314</v>
      </c>
      <c r="S285" s="2" t="s">
        <v>311</v>
      </c>
      <c r="T285" s="2" t="s">
        <v>313</v>
      </c>
      <c r="U285" s="2" t="s">
        <v>313</v>
      </c>
      <c r="V285" s="2" t="s">
        <v>316</v>
      </c>
      <c r="W285" s="2" t="s">
        <v>315</v>
      </c>
      <c r="X285" s="2" t="s">
        <v>317</v>
      </c>
      <c r="Y285" s="2" t="s">
        <v>316</v>
      </c>
      <c r="Z285" s="2" t="s">
        <v>314</v>
      </c>
      <c r="AA285" s="2" t="s">
        <v>316</v>
      </c>
      <c r="AB285" s="2" t="s">
        <v>324</v>
      </c>
      <c r="AC285" s="2" t="s">
        <v>1104</v>
      </c>
      <c r="AD285" s="2" t="s">
        <v>1105</v>
      </c>
    </row>
    <row r="286" spans="1:30" hidden="1" x14ac:dyDescent="0.3">
      <c r="A286" s="1">
        <v>45738.43310185185</v>
      </c>
      <c r="B286" s="2" t="s">
        <v>62</v>
      </c>
      <c r="C286" s="2" t="s">
        <v>662</v>
      </c>
      <c r="D286" s="2">
        <v>54</v>
      </c>
      <c r="E286" s="2" t="s">
        <v>231</v>
      </c>
      <c r="F286" s="2" t="s">
        <v>233</v>
      </c>
      <c r="G286" s="2" t="s">
        <v>239</v>
      </c>
      <c r="H286" s="2" t="s">
        <v>245</v>
      </c>
      <c r="I286" s="2">
        <v>8</v>
      </c>
      <c r="J286" s="2" t="s">
        <v>258</v>
      </c>
      <c r="K286" s="2" t="s">
        <v>308</v>
      </c>
      <c r="L286" s="2">
        <v>17</v>
      </c>
      <c r="M286" s="2" t="s">
        <v>262</v>
      </c>
      <c r="N286" s="2">
        <v>0</v>
      </c>
      <c r="O286" s="2" t="s">
        <v>311</v>
      </c>
      <c r="P286" s="2" t="s">
        <v>312</v>
      </c>
      <c r="Q286" s="2" t="s">
        <v>313</v>
      </c>
      <c r="R286" s="2" t="s">
        <v>314</v>
      </c>
      <c r="S286" s="2" t="s">
        <v>314</v>
      </c>
      <c r="T286" s="2" t="s">
        <v>311</v>
      </c>
      <c r="U286" s="2" t="s">
        <v>312</v>
      </c>
      <c r="V286" s="2" t="s">
        <v>316</v>
      </c>
      <c r="W286" s="2" t="s">
        <v>315</v>
      </c>
      <c r="X286" s="2" t="s">
        <v>317</v>
      </c>
      <c r="Y286" s="2" t="s">
        <v>316</v>
      </c>
      <c r="Z286" s="2" t="s">
        <v>314</v>
      </c>
      <c r="AA286" s="2" t="s">
        <v>321</v>
      </c>
      <c r="AB286" s="2" t="s">
        <v>324</v>
      </c>
      <c r="AC286" s="2" t="s">
        <v>358</v>
      </c>
      <c r="AD286" s="2" t="s">
        <v>458</v>
      </c>
    </row>
    <row r="287" spans="1:30" hidden="1" x14ac:dyDescent="0.3">
      <c r="A287" s="1">
        <v>45818.382928240739</v>
      </c>
      <c r="B287" s="2" t="s">
        <v>97</v>
      </c>
      <c r="C287" s="2" t="s">
        <v>946</v>
      </c>
      <c r="D287" s="2">
        <v>55</v>
      </c>
      <c r="E287" s="2" t="s">
        <v>231</v>
      </c>
      <c r="F287" s="2" t="s">
        <v>235</v>
      </c>
      <c r="G287" s="2" t="s">
        <v>239</v>
      </c>
      <c r="H287" s="2" t="s">
        <v>245</v>
      </c>
      <c r="I287" s="2">
        <v>5</v>
      </c>
      <c r="J287" s="2" t="s">
        <v>280</v>
      </c>
      <c r="K287" s="2" t="s">
        <v>309</v>
      </c>
      <c r="L287" s="2">
        <v>15</v>
      </c>
      <c r="M287" s="2" t="s">
        <v>262</v>
      </c>
      <c r="N287" s="2">
        <v>2</v>
      </c>
      <c r="O287" s="2" t="s">
        <v>313</v>
      </c>
      <c r="P287" s="2" t="s">
        <v>312</v>
      </c>
      <c r="Q287" s="2" t="s">
        <v>313</v>
      </c>
      <c r="R287" s="2" t="s">
        <v>313</v>
      </c>
      <c r="S287" s="2" t="s">
        <v>313</v>
      </c>
      <c r="T287" s="2" t="s">
        <v>314</v>
      </c>
      <c r="U287" s="2" t="s">
        <v>312</v>
      </c>
      <c r="V287" s="2" t="s">
        <v>316</v>
      </c>
      <c r="W287" s="2" t="s">
        <v>315</v>
      </c>
      <c r="X287" s="2" t="s">
        <v>317</v>
      </c>
      <c r="Y287" s="2" t="s">
        <v>315</v>
      </c>
      <c r="Z287" s="2" t="s">
        <v>314</v>
      </c>
      <c r="AA287" s="2" t="s">
        <v>321</v>
      </c>
      <c r="AB287" s="2" t="s">
        <v>326</v>
      </c>
      <c r="AC287" s="2" t="s">
        <v>393</v>
      </c>
      <c r="AD287" s="2" t="s">
        <v>493</v>
      </c>
    </row>
    <row r="288" spans="1:30" x14ac:dyDescent="0.3">
      <c r="A288" s="1">
        <v>45727.488217592603</v>
      </c>
      <c r="B288" s="2" t="s">
        <v>115</v>
      </c>
      <c r="C288" s="2" t="s">
        <v>944</v>
      </c>
      <c r="D288" s="2">
        <v>56</v>
      </c>
      <c r="E288" s="2" t="s">
        <v>232</v>
      </c>
      <c r="F288" s="2" t="s">
        <v>236</v>
      </c>
      <c r="G288" s="2" t="s">
        <v>243</v>
      </c>
      <c r="H288" s="2" t="s">
        <v>245</v>
      </c>
      <c r="I288" s="2">
        <v>21</v>
      </c>
      <c r="J288" s="2" t="s">
        <v>243</v>
      </c>
      <c r="K288" s="2" t="s">
        <v>309</v>
      </c>
      <c r="L288" s="2">
        <v>13</v>
      </c>
      <c r="M288" s="2" t="s">
        <v>241</v>
      </c>
      <c r="N288" s="2">
        <v>2</v>
      </c>
      <c r="O288" s="2" t="s">
        <v>312</v>
      </c>
      <c r="P288" s="2" t="s">
        <v>311</v>
      </c>
      <c r="Q288" s="2" t="s">
        <v>313</v>
      </c>
      <c r="R288" s="2" t="s">
        <v>314</v>
      </c>
      <c r="S288" s="2" t="s">
        <v>313</v>
      </c>
      <c r="T288" s="2" t="s">
        <v>312</v>
      </c>
      <c r="U288" s="2" t="s">
        <v>312</v>
      </c>
      <c r="V288" s="2" t="s">
        <v>316</v>
      </c>
      <c r="W288" s="2" t="s">
        <v>315</v>
      </c>
      <c r="X288" s="2" t="s">
        <v>320</v>
      </c>
      <c r="Y288" s="2" t="s">
        <v>315</v>
      </c>
      <c r="Z288" s="2" t="s">
        <v>314</v>
      </c>
      <c r="AA288" s="2" t="s">
        <v>316</v>
      </c>
      <c r="AB288" s="2" t="s">
        <v>326</v>
      </c>
      <c r="AC288" s="2" t="s">
        <v>411</v>
      </c>
      <c r="AD288" s="2" t="s">
        <v>511</v>
      </c>
    </row>
    <row r="289" spans="1:30" hidden="1" x14ac:dyDescent="0.3">
      <c r="A289" s="2" t="s">
        <v>30</v>
      </c>
      <c r="B289" s="2" t="s">
        <v>552</v>
      </c>
      <c r="C289" s="2" t="s">
        <v>733</v>
      </c>
      <c r="D289" s="2">
        <v>56</v>
      </c>
      <c r="E289" s="2" t="s">
        <v>231</v>
      </c>
      <c r="F289" s="2" t="s">
        <v>236</v>
      </c>
      <c r="G289" s="2" t="s">
        <v>243</v>
      </c>
      <c r="H289" s="2" t="s">
        <v>244</v>
      </c>
      <c r="I289" s="2">
        <v>16</v>
      </c>
      <c r="J289" s="2" t="s">
        <v>293</v>
      </c>
      <c r="K289" s="2" t="s">
        <v>310</v>
      </c>
      <c r="L289" s="2">
        <v>19</v>
      </c>
      <c r="M289" s="2" t="s">
        <v>241</v>
      </c>
      <c r="N289" s="2">
        <v>3</v>
      </c>
      <c r="O289" s="2" t="s">
        <v>314</v>
      </c>
      <c r="P289" s="2" t="s">
        <v>313</v>
      </c>
      <c r="Q289" s="2" t="s">
        <v>314</v>
      </c>
      <c r="R289" s="2" t="s">
        <v>312</v>
      </c>
      <c r="S289" s="2" t="s">
        <v>313</v>
      </c>
      <c r="T289" s="2" t="s">
        <v>311</v>
      </c>
      <c r="U289" s="2" t="s">
        <v>311</v>
      </c>
      <c r="V289" s="2" t="s">
        <v>316</v>
      </c>
      <c r="W289" s="2" t="s">
        <v>315</v>
      </c>
      <c r="X289" s="2" t="s">
        <v>317</v>
      </c>
      <c r="Y289" s="2" t="s">
        <v>315</v>
      </c>
      <c r="Z289" s="2" t="s">
        <v>314</v>
      </c>
      <c r="AA289" s="2" t="s">
        <v>321</v>
      </c>
      <c r="AB289" s="2" t="s">
        <v>325</v>
      </c>
      <c r="AC289" s="2" t="s">
        <v>1104</v>
      </c>
      <c r="AD289" s="2" t="s">
        <v>1105</v>
      </c>
    </row>
    <row r="290" spans="1:30" hidden="1" x14ac:dyDescent="0.3">
      <c r="A290" s="1">
        <v>45691.119456018518</v>
      </c>
      <c r="B290" s="2" t="s">
        <v>85</v>
      </c>
      <c r="C290" s="2" t="s">
        <v>834</v>
      </c>
      <c r="D290" s="2">
        <v>57</v>
      </c>
      <c r="E290" s="2" t="s">
        <v>231</v>
      </c>
      <c r="F290" s="2" t="s">
        <v>237</v>
      </c>
      <c r="G290" s="2" t="s">
        <v>242</v>
      </c>
      <c r="H290" s="2" t="s">
        <v>246</v>
      </c>
      <c r="I290" s="2">
        <v>22</v>
      </c>
      <c r="J290" s="2" t="s">
        <v>283</v>
      </c>
      <c r="K290" s="2" t="s">
        <v>308</v>
      </c>
      <c r="L290" s="2">
        <v>5</v>
      </c>
      <c r="M290" s="2" t="s">
        <v>251</v>
      </c>
      <c r="N290" s="2">
        <v>2</v>
      </c>
      <c r="O290" s="2" t="s">
        <v>314</v>
      </c>
      <c r="P290" s="2" t="s">
        <v>311</v>
      </c>
      <c r="Q290" s="2" t="s">
        <v>314</v>
      </c>
      <c r="R290" s="2" t="s">
        <v>313</v>
      </c>
      <c r="S290" s="2" t="s">
        <v>312</v>
      </c>
      <c r="T290" s="2" t="s">
        <v>314</v>
      </c>
      <c r="U290" s="2" t="s">
        <v>313</v>
      </c>
      <c r="V290" s="2" t="s">
        <v>316</v>
      </c>
      <c r="W290" s="2" t="s">
        <v>315</v>
      </c>
      <c r="X290" s="2" t="s">
        <v>318</v>
      </c>
      <c r="Y290" s="2" t="s">
        <v>316</v>
      </c>
      <c r="Z290" s="2" t="s">
        <v>314</v>
      </c>
      <c r="AA290" s="2" t="s">
        <v>321</v>
      </c>
      <c r="AB290" s="2" t="s">
        <v>326</v>
      </c>
      <c r="AC290" s="2" t="s">
        <v>381</v>
      </c>
      <c r="AD290" s="2" t="s">
        <v>481</v>
      </c>
    </row>
    <row r="291" spans="1:30" x14ac:dyDescent="0.3">
      <c r="A291" s="1">
        <v>45828.909780092603</v>
      </c>
      <c r="B291" s="2" t="s">
        <v>80</v>
      </c>
      <c r="C291" s="2" t="s">
        <v>938</v>
      </c>
      <c r="D291" s="2">
        <v>26</v>
      </c>
      <c r="E291" s="2" t="s">
        <v>232</v>
      </c>
      <c r="F291" s="2" t="s">
        <v>234</v>
      </c>
      <c r="G291" s="2" t="s">
        <v>241</v>
      </c>
      <c r="H291" s="2" t="s">
        <v>245</v>
      </c>
      <c r="I291" s="2">
        <v>24</v>
      </c>
      <c r="J291" s="2" t="s">
        <v>262</v>
      </c>
      <c r="K291" s="2" t="s">
        <v>308</v>
      </c>
      <c r="L291" s="2">
        <v>7</v>
      </c>
      <c r="M291" s="2" t="s">
        <v>262</v>
      </c>
      <c r="N291" s="2">
        <v>0</v>
      </c>
      <c r="O291" s="2" t="s">
        <v>311</v>
      </c>
      <c r="P291" s="2" t="s">
        <v>314</v>
      </c>
      <c r="Q291" s="2" t="s">
        <v>313</v>
      </c>
      <c r="R291" s="2" t="s">
        <v>313</v>
      </c>
      <c r="S291" s="2" t="s">
        <v>312</v>
      </c>
      <c r="T291" s="2" t="s">
        <v>313</v>
      </c>
      <c r="U291" s="2" t="s">
        <v>312</v>
      </c>
      <c r="V291" s="2" t="s">
        <v>315</v>
      </c>
      <c r="W291" s="2" t="s">
        <v>315</v>
      </c>
      <c r="X291" s="2" t="s">
        <v>318</v>
      </c>
      <c r="Y291" s="2" t="s">
        <v>316</v>
      </c>
      <c r="Z291" s="2" t="s">
        <v>313</v>
      </c>
      <c r="AA291" s="2" t="s">
        <v>316</v>
      </c>
      <c r="AB291" s="2" t="s">
        <v>325</v>
      </c>
      <c r="AC291" s="2" t="s">
        <v>376</v>
      </c>
      <c r="AD291" s="2" t="s">
        <v>476</v>
      </c>
    </row>
    <row r="292" spans="1:30" hidden="1" x14ac:dyDescent="0.3">
      <c r="A292" s="1">
        <v>45797.459652777783</v>
      </c>
      <c r="B292" s="2" t="s">
        <v>117</v>
      </c>
      <c r="C292" s="2" t="s">
        <v>851</v>
      </c>
      <c r="D292" s="2">
        <v>28</v>
      </c>
      <c r="E292" s="2" t="s">
        <v>231</v>
      </c>
      <c r="F292" s="2" t="s">
        <v>237</v>
      </c>
      <c r="G292" s="2" t="s">
        <v>240</v>
      </c>
      <c r="H292" s="2" t="s">
        <v>246</v>
      </c>
      <c r="I292" s="2">
        <v>32</v>
      </c>
      <c r="J292" s="2" t="s">
        <v>241</v>
      </c>
      <c r="K292" s="2" t="s">
        <v>310</v>
      </c>
      <c r="L292" s="2">
        <v>17</v>
      </c>
      <c r="M292" s="2" t="s">
        <v>262</v>
      </c>
      <c r="N292" s="2">
        <v>3</v>
      </c>
      <c r="O292" s="2" t="s">
        <v>311</v>
      </c>
      <c r="P292" s="2" t="s">
        <v>313</v>
      </c>
      <c r="Q292" s="2" t="s">
        <v>313</v>
      </c>
      <c r="R292" s="2" t="s">
        <v>311</v>
      </c>
      <c r="S292" s="2" t="s">
        <v>314</v>
      </c>
      <c r="T292" s="2" t="s">
        <v>312</v>
      </c>
      <c r="U292" s="2" t="s">
        <v>311</v>
      </c>
      <c r="V292" s="2" t="s">
        <v>315</v>
      </c>
      <c r="W292" s="2" t="s">
        <v>315</v>
      </c>
      <c r="X292" s="2" t="s">
        <v>318</v>
      </c>
      <c r="Y292" s="2" t="s">
        <v>315</v>
      </c>
      <c r="Z292" s="2" t="s">
        <v>313</v>
      </c>
      <c r="AA292" s="2" t="s">
        <v>322</v>
      </c>
      <c r="AB292" s="2" t="s">
        <v>326</v>
      </c>
      <c r="AC292" s="2" t="s">
        <v>413</v>
      </c>
      <c r="AD292" s="2" t="s">
        <v>513</v>
      </c>
    </row>
    <row r="293" spans="1:30" hidden="1" x14ac:dyDescent="0.3">
      <c r="A293" s="2" t="s">
        <v>30</v>
      </c>
      <c r="B293" s="2" t="s">
        <v>602</v>
      </c>
      <c r="C293" s="2" t="s">
        <v>720</v>
      </c>
      <c r="D293" s="2">
        <v>28</v>
      </c>
      <c r="E293" s="2" t="s">
        <v>231</v>
      </c>
      <c r="F293" s="2" t="s">
        <v>234</v>
      </c>
      <c r="G293" s="2" t="s">
        <v>242</v>
      </c>
      <c r="H293" s="2" t="s">
        <v>244</v>
      </c>
      <c r="I293" s="2">
        <v>30</v>
      </c>
      <c r="J293" s="2" t="s">
        <v>978</v>
      </c>
      <c r="K293" s="2" t="s">
        <v>310</v>
      </c>
      <c r="L293" s="2">
        <v>15</v>
      </c>
      <c r="M293" s="2" t="s">
        <v>243</v>
      </c>
      <c r="N293" s="2">
        <v>0</v>
      </c>
      <c r="O293" s="2" t="s">
        <v>314</v>
      </c>
      <c r="P293" s="2" t="s">
        <v>312</v>
      </c>
      <c r="Q293" s="2" t="s">
        <v>311</v>
      </c>
      <c r="R293" s="2" t="s">
        <v>312</v>
      </c>
      <c r="S293" s="2" t="s">
        <v>311</v>
      </c>
      <c r="T293" s="2" t="s">
        <v>311</v>
      </c>
      <c r="U293" s="2" t="s">
        <v>311</v>
      </c>
      <c r="V293" s="2" t="s">
        <v>315</v>
      </c>
      <c r="W293" s="2" t="s">
        <v>315</v>
      </c>
      <c r="X293" s="2" t="s">
        <v>320</v>
      </c>
      <c r="Y293" s="2" t="s">
        <v>315</v>
      </c>
      <c r="Z293" s="2" t="s">
        <v>313</v>
      </c>
      <c r="AA293" s="2" t="s">
        <v>315</v>
      </c>
      <c r="AB293" s="2" t="s">
        <v>324</v>
      </c>
      <c r="AC293" s="2" t="s">
        <v>1102</v>
      </c>
      <c r="AD293" s="2" t="s">
        <v>1105</v>
      </c>
    </row>
    <row r="294" spans="1:30" x14ac:dyDescent="0.3">
      <c r="A294" s="1">
        <v>45782.416747685187</v>
      </c>
      <c r="B294" s="2" t="s">
        <v>118</v>
      </c>
      <c r="C294" s="2" t="s">
        <v>913</v>
      </c>
      <c r="D294" s="2">
        <v>30</v>
      </c>
      <c r="E294" s="2" t="s">
        <v>232</v>
      </c>
      <c r="F294" s="2" t="s">
        <v>235</v>
      </c>
      <c r="G294" s="2" t="s">
        <v>240</v>
      </c>
      <c r="H294" s="2" t="s">
        <v>246</v>
      </c>
      <c r="I294" s="2">
        <v>16</v>
      </c>
      <c r="J294" s="2" t="s">
        <v>300</v>
      </c>
      <c r="K294" s="2" t="s">
        <v>310</v>
      </c>
      <c r="L294" s="2">
        <v>20</v>
      </c>
      <c r="M294" s="2" t="s">
        <v>255</v>
      </c>
      <c r="N294" s="2">
        <v>3</v>
      </c>
      <c r="O294" s="2" t="s">
        <v>311</v>
      </c>
      <c r="P294" s="2" t="s">
        <v>314</v>
      </c>
      <c r="Q294" s="2" t="s">
        <v>314</v>
      </c>
      <c r="R294" s="2" t="s">
        <v>314</v>
      </c>
      <c r="S294" s="2" t="s">
        <v>314</v>
      </c>
      <c r="T294" s="2" t="s">
        <v>311</v>
      </c>
      <c r="U294" s="2" t="s">
        <v>311</v>
      </c>
      <c r="V294" s="2" t="s">
        <v>315</v>
      </c>
      <c r="W294" s="2" t="s">
        <v>315</v>
      </c>
      <c r="X294" s="2" t="s">
        <v>320</v>
      </c>
      <c r="Y294" s="2" t="s">
        <v>316</v>
      </c>
      <c r="Z294" s="2" t="s">
        <v>313</v>
      </c>
      <c r="AA294" s="2" t="s">
        <v>316</v>
      </c>
      <c r="AB294" s="2" t="s">
        <v>324</v>
      </c>
      <c r="AC294" s="2" t="s">
        <v>414</v>
      </c>
      <c r="AD294" s="2" t="s">
        <v>514</v>
      </c>
    </row>
    <row r="295" spans="1:30" x14ac:dyDescent="0.3">
      <c r="A295" s="2" t="s">
        <v>30</v>
      </c>
      <c r="B295" s="2" t="s">
        <v>603</v>
      </c>
      <c r="C295" s="2" t="s">
        <v>777</v>
      </c>
      <c r="D295" s="2">
        <v>30</v>
      </c>
      <c r="E295" s="2" t="s">
        <v>232</v>
      </c>
      <c r="F295" s="2" t="s">
        <v>236</v>
      </c>
      <c r="G295" s="2" t="s">
        <v>240</v>
      </c>
      <c r="H295" s="2" t="s">
        <v>246</v>
      </c>
      <c r="I295" s="2">
        <v>22</v>
      </c>
      <c r="J295" s="2" t="s">
        <v>252</v>
      </c>
      <c r="K295" s="2" t="s">
        <v>309</v>
      </c>
      <c r="L295" s="2">
        <v>17</v>
      </c>
      <c r="M295" s="2" t="s">
        <v>255</v>
      </c>
      <c r="N295" s="2">
        <v>1</v>
      </c>
      <c r="O295" s="2" t="s">
        <v>313</v>
      </c>
      <c r="P295" s="2" t="s">
        <v>313</v>
      </c>
      <c r="Q295" s="2" t="s">
        <v>311</v>
      </c>
      <c r="R295" s="2" t="s">
        <v>312</v>
      </c>
      <c r="S295" s="2" t="s">
        <v>311</v>
      </c>
      <c r="T295" s="2" t="s">
        <v>312</v>
      </c>
      <c r="U295" s="2" t="s">
        <v>312</v>
      </c>
      <c r="V295" s="2" t="s">
        <v>315</v>
      </c>
      <c r="W295" s="2" t="s">
        <v>315</v>
      </c>
      <c r="X295" s="2" t="s">
        <v>320</v>
      </c>
      <c r="Y295" s="2" t="s">
        <v>315</v>
      </c>
      <c r="Z295" s="2" t="s">
        <v>313</v>
      </c>
      <c r="AA295" s="2" t="s">
        <v>316</v>
      </c>
      <c r="AB295" s="2" t="s">
        <v>326</v>
      </c>
      <c r="AC295" s="2" t="s">
        <v>1101</v>
      </c>
      <c r="AD295" s="2" t="s">
        <v>1105</v>
      </c>
    </row>
    <row r="296" spans="1:30" hidden="1" x14ac:dyDescent="0.3">
      <c r="A296" s="2" t="s">
        <v>30</v>
      </c>
      <c r="B296" s="2" t="s">
        <v>645</v>
      </c>
      <c r="C296" s="2" t="s">
        <v>773</v>
      </c>
      <c r="D296" s="2">
        <v>31</v>
      </c>
      <c r="E296" s="2" t="s">
        <v>231</v>
      </c>
      <c r="F296" s="2" t="s">
        <v>235</v>
      </c>
      <c r="G296" s="2" t="s">
        <v>242</v>
      </c>
      <c r="H296" s="2" t="s">
        <v>246</v>
      </c>
      <c r="I296" s="2">
        <v>25</v>
      </c>
      <c r="J296" s="2" t="s">
        <v>251</v>
      </c>
      <c r="K296" s="2" t="s">
        <v>309</v>
      </c>
      <c r="L296" s="2">
        <v>1</v>
      </c>
      <c r="M296" s="2" t="s">
        <v>241</v>
      </c>
      <c r="N296" s="2">
        <v>1</v>
      </c>
      <c r="O296" s="2" t="s">
        <v>312</v>
      </c>
      <c r="P296" s="2" t="s">
        <v>313</v>
      </c>
      <c r="Q296" s="2" t="s">
        <v>313</v>
      </c>
      <c r="R296" s="2" t="s">
        <v>312</v>
      </c>
      <c r="S296" s="2" t="s">
        <v>312</v>
      </c>
      <c r="T296" s="2" t="s">
        <v>313</v>
      </c>
      <c r="U296" s="2" t="s">
        <v>313</v>
      </c>
      <c r="V296" s="2" t="s">
        <v>315</v>
      </c>
      <c r="W296" s="2" t="s">
        <v>315</v>
      </c>
      <c r="X296" s="2" t="s">
        <v>320</v>
      </c>
      <c r="Y296" s="2" t="s">
        <v>316</v>
      </c>
      <c r="Z296" s="2" t="s">
        <v>313</v>
      </c>
      <c r="AA296" s="2" t="s">
        <v>1095</v>
      </c>
      <c r="AB296" s="2" t="s">
        <v>323</v>
      </c>
      <c r="AC296" s="2" t="s">
        <v>1097</v>
      </c>
      <c r="AD296" s="2" t="s">
        <v>1105</v>
      </c>
    </row>
    <row r="297" spans="1:30" hidden="1" x14ac:dyDescent="0.3">
      <c r="A297" s="1">
        <v>45740.413171296299</v>
      </c>
      <c r="B297" s="2" t="s">
        <v>69</v>
      </c>
      <c r="C297" s="2" t="s">
        <v>194</v>
      </c>
      <c r="D297" s="2">
        <v>33</v>
      </c>
      <c r="E297" s="2" t="s">
        <v>231</v>
      </c>
      <c r="F297" s="2" t="s">
        <v>233</v>
      </c>
      <c r="G297" s="2" t="s">
        <v>239</v>
      </c>
      <c r="H297" s="2" t="s">
        <v>246</v>
      </c>
      <c r="I297" s="2">
        <v>27</v>
      </c>
      <c r="J297" s="2" t="s">
        <v>251</v>
      </c>
      <c r="K297" s="2" t="s">
        <v>308</v>
      </c>
      <c r="L297" s="2">
        <v>17</v>
      </c>
      <c r="M297" s="2" t="s">
        <v>243</v>
      </c>
      <c r="N297" s="2">
        <v>1</v>
      </c>
      <c r="O297" s="2" t="s">
        <v>312</v>
      </c>
      <c r="P297" s="2" t="s">
        <v>313</v>
      </c>
      <c r="Q297" s="2" t="s">
        <v>314</v>
      </c>
      <c r="R297" s="2" t="s">
        <v>313</v>
      </c>
      <c r="S297" s="2" t="s">
        <v>313</v>
      </c>
      <c r="T297" s="2" t="s">
        <v>311</v>
      </c>
      <c r="U297" s="2" t="s">
        <v>314</v>
      </c>
      <c r="V297" s="2" t="s">
        <v>315</v>
      </c>
      <c r="W297" s="2" t="s">
        <v>315</v>
      </c>
      <c r="X297" s="2" t="s">
        <v>318</v>
      </c>
      <c r="Y297" s="2" t="s">
        <v>316</v>
      </c>
      <c r="Z297" s="2" t="s">
        <v>313</v>
      </c>
      <c r="AA297" s="2" t="s">
        <v>321</v>
      </c>
      <c r="AB297" s="2" t="s">
        <v>323</v>
      </c>
      <c r="AC297" s="2" t="s">
        <v>365</v>
      </c>
      <c r="AD297" s="2" t="s">
        <v>465</v>
      </c>
    </row>
    <row r="298" spans="1:30" hidden="1" x14ac:dyDescent="0.3">
      <c r="A298" s="2" t="s">
        <v>30</v>
      </c>
      <c r="B298" s="2" t="s">
        <v>648</v>
      </c>
      <c r="C298" s="2" t="s">
        <v>230</v>
      </c>
      <c r="D298" s="2">
        <v>36</v>
      </c>
      <c r="E298" s="2" t="s">
        <v>231</v>
      </c>
      <c r="F298" s="2" t="s">
        <v>235</v>
      </c>
      <c r="G298" s="2" t="s">
        <v>241</v>
      </c>
      <c r="H298" s="2" t="s">
        <v>244</v>
      </c>
      <c r="I298" s="2">
        <v>30</v>
      </c>
      <c r="J298" s="2" t="s">
        <v>1077</v>
      </c>
      <c r="K298" s="2" t="s">
        <v>309</v>
      </c>
      <c r="L298" s="2">
        <v>2</v>
      </c>
      <c r="M298" s="2" t="s">
        <v>251</v>
      </c>
      <c r="N298" s="2">
        <v>1</v>
      </c>
      <c r="O298" s="2" t="s">
        <v>311</v>
      </c>
      <c r="P298" s="2" t="s">
        <v>313</v>
      </c>
      <c r="Q298" s="2" t="s">
        <v>313</v>
      </c>
      <c r="R298" s="2" t="s">
        <v>313</v>
      </c>
      <c r="S298" s="2" t="s">
        <v>312</v>
      </c>
      <c r="T298" s="2" t="s">
        <v>311</v>
      </c>
      <c r="U298" s="2" t="s">
        <v>311</v>
      </c>
      <c r="V298" s="2" t="s">
        <v>315</v>
      </c>
      <c r="W298" s="2" t="s">
        <v>315</v>
      </c>
      <c r="X298" s="2" t="s">
        <v>320</v>
      </c>
      <c r="Y298" s="2" t="s">
        <v>316</v>
      </c>
      <c r="Z298" s="2" t="s">
        <v>313</v>
      </c>
      <c r="AA298" s="2" t="s">
        <v>321</v>
      </c>
      <c r="AB298" s="2" t="s">
        <v>324</v>
      </c>
      <c r="AC298" s="2" t="s">
        <v>1098</v>
      </c>
      <c r="AD298" s="2" t="s">
        <v>1105</v>
      </c>
    </row>
    <row r="299" spans="1:30" x14ac:dyDescent="0.3">
      <c r="A299" s="2" t="s">
        <v>30</v>
      </c>
      <c r="B299" s="2" t="s">
        <v>611</v>
      </c>
      <c r="C299" s="2" t="s">
        <v>772</v>
      </c>
      <c r="D299" s="2">
        <v>39</v>
      </c>
      <c r="E299" s="2" t="s">
        <v>232</v>
      </c>
      <c r="F299" s="2" t="s">
        <v>236</v>
      </c>
      <c r="G299" s="2" t="s">
        <v>239</v>
      </c>
      <c r="H299" s="2" t="s">
        <v>246</v>
      </c>
      <c r="I299" s="2">
        <v>23</v>
      </c>
      <c r="J299" s="2" t="s">
        <v>1019</v>
      </c>
      <c r="K299" s="2" t="s">
        <v>308</v>
      </c>
      <c r="L299" s="2">
        <v>10</v>
      </c>
      <c r="M299" s="2" t="s">
        <v>275</v>
      </c>
      <c r="N299" s="2">
        <v>1</v>
      </c>
      <c r="O299" s="2" t="s">
        <v>313</v>
      </c>
      <c r="P299" s="2" t="s">
        <v>313</v>
      </c>
      <c r="Q299" s="2" t="s">
        <v>313</v>
      </c>
      <c r="R299" s="2" t="s">
        <v>313</v>
      </c>
      <c r="S299" s="2" t="s">
        <v>313</v>
      </c>
      <c r="T299" s="2" t="s">
        <v>311</v>
      </c>
      <c r="U299" s="2" t="s">
        <v>311</v>
      </c>
      <c r="V299" s="2" t="s">
        <v>315</v>
      </c>
      <c r="W299" s="2" t="s">
        <v>315</v>
      </c>
      <c r="X299" s="2" t="s">
        <v>319</v>
      </c>
      <c r="Y299" s="2" t="s">
        <v>316</v>
      </c>
      <c r="Z299" s="2" t="s">
        <v>313</v>
      </c>
      <c r="AA299" s="2" t="s">
        <v>316</v>
      </c>
      <c r="AB299" s="2" t="s">
        <v>324</v>
      </c>
      <c r="AC299" s="2" t="s">
        <v>1104</v>
      </c>
      <c r="AD299" s="2" t="s">
        <v>1105</v>
      </c>
    </row>
    <row r="300" spans="1:30" hidden="1" x14ac:dyDescent="0.3">
      <c r="A300" s="2" t="s">
        <v>30</v>
      </c>
      <c r="B300" s="2" t="s">
        <v>638</v>
      </c>
      <c r="C300" s="2" t="s">
        <v>209</v>
      </c>
      <c r="D300" s="2">
        <v>39</v>
      </c>
      <c r="E300" s="2" t="s">
        <v>231</v>
      </c>
      <c r="F300" s="2" t="s">
        <v>233</v>
      </c>
      <c r="G300" s="2" t="s">
        <v>241</v>
      </c>
      <c r="H300" s="2" t="s">
        <v>245</v>
      </c>
      <c r="I300" s="2">
        <v>11</v>
      </c>
      <c r="J300" s="2" t="s">
        <v>265</v>
      </c>
      <c r="K300" s="2" t="s">
        <v>310</v>
      </c>
      <c r="L300" s="2">
        <v>19</v>
      </c>
      <c r="M300" s="2" t="s">
        <v>262</v>
      </c>
      <c r="N300" s="2">
        <v>0</v>
      </c>
      <c r="O300" s="2" t="s">
        <v>312</v>
      </c>
      <c r="P300" s="2" t="s">
        <v>312</v>
      </c>
      <c r="Q300" s="2" t="s">
        <v>314</v>
      </c>
      <c r="R300" s="2" t="s">
        <v>312</v>
      </c>
      <c r="S300" s="2" t="s">
        <v>313</v>
      </c>
      <c r="T300" s="2" t="s">
        <v>312</v>
      </c>
      <c r="U300" s="2" t="s">
        <v>312</v>
      </c>
      <c r="V300" s="2" t="s">
        <v>315</v>
      </c>
      <c r="W300" s="2" t="s">
        <v>315</v>
      </c>
      <c r="X300" s="2" t="s">
        <v>318</v>
      </c>
      <c r="Y300" s="2" t="s">
        <v>316</v>
      </c>
      <c r="Z300" s="2" t="s">
        <v>313</v>
      </c>
      <c r="AA300" s="2" t="s">
        <v>321</v>
      </c>
      <c r="AB300" s="2" t="s">
        <v>325</v>
      </c>
      <c r="AC300" s="2" t="s">
        <v>1097</v>
      </c>
      <c r="AD300" s="2" t="s">
        <v>1105</v>
      </c>
    </row>
    <row r="301" spans="1:30" x14ac:dyDescent="0.3">
      <c r="A301" s="1">
        <v>45674.949212962973</v>
      </c>
      <c r="B301" s="2" t="s">
        <v>53</v>
      </c>
      <c r="C301" s="2" t="s">
        <v>731</v>
      </c>
      <c r="D301" s="2">
        <v>41</v>
      </c>
      <c r="E301" s="2" t="s">
        <v>232</v>
      </c>
      <c r="F301" s="2" t="s">
        <v>234</v>
      </c>
      <c r="G301" s="2" t="s">
        <v>241</v>
      </c>
      <c r="H301" s="2" t="s">
        <v>246</v>
      </c>
      <c r="I301" s="2">
        <v>8</v>
      </c>
      <c r="J301" s="2" t="s">
        <v>243</v>
      </c>
      <c r="K301" s="2" t="s">
        <v>308</v>
      </c>
      <c r="L301" s="2">
        <v>18</v>
      </c>
      <c r="M301" s="2" t="s">
        <v>241</v>
      </c>
      <c r="N301" s="2">
        <v>1</v>
      </c>
      <c r="O301" s="2" t="s">
        <v>314</v>
      </c>
      <c r="P301" s="2" t="s">
        <v>314</v>
      </c>
      <c r="Q301" s="2" t="s">
        <v>312</v>
      </c>
      <c r="R301" s="2" t="s">
        <v>311</v>
      </c>
      <c r="S301" s="2" t="s">
        <v>312</v>
      </c>
      <c r="T301" s="2" t="s">
        <v>311</v>
      </c>
      <c r="U301" s="2" t="s">
        <v>313</v>
      </c>
      <c r="V301" s="2" t="s">
        <v>315</v>
      </c>
      <c r="W301" s="2" t="s">
        <v>315</v>
      </c>
      <c r="X301" s="2" t="s">
        <v>317</v>
      </c>
      <c r="Y301" s="2" t="s">
        <v>316</v>
      </c>
      <c r="Z301" s="2" t="s">
        <v>313</v>
      </c>
      <c r="AA301" s="2" t="s">
        <v>321</v>
      </c>
      <c r="AB301" s="2" t="s">
        <v>326</v>
      </c>
      <c r="AC301" s="2" t="s">
        <v>349</v>
      </c>
      <c r="AD301" s="2" t="s">
        <v>449</v>
      </c>
    </row>
    <row r="302" spans="1:30" hidden="1" x14ac:dyDescent="0.3">
      <c r="A302" s="1">
        <v>45819.068229166667</v>
      </c>
      <c r="B302" s="2" t="s">
        <v>91</v>
      </c>
      <c r="C302" s="2" t="s">
        <v>801</v>
      </c>
      <c r="D302" s="2">
        <v>42</v>
      </c>
      <c r="E302" s="2" t="s">
        <v>231</v>
      </c>
      <c r="F302" s="2" t="s">
        <v>233</v>
      </c>
      <c r="G302" s="2" t="s">
        <v>240</v>
      </c>
      <c r="H302" s="2" t="s">
        <v>245</v>
      </c>
      <c r="I302" s="2">
        <v>29</v>
      </c>
      <c r="J302" s="2" t="s">
        <v>279</v>
      </c>
      <c r="K302" s="2" t="s">
        <v>309</v>
      </c>
      <c r="L302" s="2">
        <v>15</v>
      </c>
      <c r="M302" s="2" t="s">
        <v>243</v>
      </c>
      <c r="N302" s="2">
        <v>1</v>
      </c>
      <c r="O302" s="2" t="s">
        <v>311</v>
      </c>
      <c r="P302" s="2" t="s">
        <v>314</v>
      </c>
      <c r="Q302" s="2" t="s">
        <v>311</v>
      </c>
      <c r="R302" s="2" t="s">
        <v>314</v>
      </c>
      <c r="S302" s="2" t="s">
        <v>312</v>
      </c>
      <c r="T302" s="2" t="s">
        <v>313</v>
      </c>
      <c r="U302" s="2" t="s">
        <v>313</v>
      </c>
      <c r="V302" s="2" t="s">
        <v>315</v>
      </c>
      <c r="W302" s="2" t="s">
        <v>315</v>
      </c>
      <c r="X302" s="2" t="s">
        <v>317</v>
      </c>
      <c r="Y302" s="2" t="s">
        <v>316</v>
      </c>
      <c r="Z302" s="2" t="s">
        <v>313</v>
      </c>
      <c r="AA302" s="2" t="s">
        <v>322</v>
      </c>
      <c r="AB302" s="2" t="s">
        <v>323</v>
      </c>
      <c r="AC302" s="2" t="s">
        <v>387</v>
      </c>
      <c r="AD302" s="2" t="s">
        <v>487</v>
      </c>
    </row>
    <row r="303" spans="1:30" hidden="1" x14ac:dyDescent="0.3">
      <c r="A303" s="2" t="s">
        <v>30</v>
      </c>
      <c r="B303" s="2" t="s">
        <v>580</v>
      </c>
      <c r="C303" s="2" t="s">
        <v>883</v>
      </c>
      <c r="D303" s="2">
        <v>42</v>
      </c>
      <c r="E303" s="2" t="s">
        <v>231</v>
      </c>
      <c r="F303" s="2" t="s">
        <v>234</v>
      </c>
      <c r="G303" s="2" t="s">
        <v>240</v>
      </c>
      <c r="H303" s="2" t="s">
        <v>244</v>
      </c>
      <c r="I303" s="2">
        <v>27</v>
      </c>
      <c r="J303" s="2" t="s">
        <v>1039</v>
      </c>
      <c r="K303" s="2" t="s">
        <v>309</v>
      </c>
      <c r="L303" s="2">
        <v>9</v>
      </c>
      <c r="M303" s="2" t="s">
        <v>275</v>
      </c>
      <c r="N303" s="2">
        <v>1</v>
      </c>
      <c r="O303" s="2" t="s">
        <v>313</v>
      </c>
      <c r="P303" s="2" t="s">
        <v>314</v>
      </c>
      <c r="Q303" s="2" t="s">
        <v>311</v>
      </c>
      <c r="R303" s="2" t="s">
        <v>311</v>
      </c>
      <c r="S303" s="2" t="s">
        <v>312</v>
      </c>
      <c r="T303" s="2" t="s">
        <v>311</v>
      </c>
      <c r="U303" s="2" t="s">
        <v>311</v>
      </c>
      <c r="V303" s="2" t="s">
        <v>315</v>
      </c>
      <c r="W303" s="2" t="s">
        <v>315</v>
      </c>
      <c r="X303" s="2" t="s">
        <v>320</v>
      </c>
      <c r="Y303" s="2" t="s">
        <v>315</v>
      </c>
      <c r="Z303" s="2" t="s">
        <v>313</v>
      </c>
      <c r="AA303" s="2" t="s">
        <v>315</v>
      </c>
      <c r="AB303" s="2" t="s">
        <v>326</v>
      </c>
      <c r="AC303" s="2" t="s">
        <v>1102</v>
      </c>
      <c r="AD303" s="2" t="s">
        <v>1105</v>
      </c>
    </row>
    <row r="304" spans="1:30" hidden="1" x14ac:dyDescent="0.3">
      <c r="A304" s="2" t="s">
        <v>30</v>
      </c>
      <c r="B304" s="2" t="s">
        <v>584</v>
      </c>
      <c r="C304" s="2" t="s">
        <v>159</v>
      </c>
      <c r="D304" s="2">
        <v>43</v>
      </c>
      <c r="E304" s="2" t="s">
        <v>231</v>
      </c>
      <c r="F304" s="2" t="s">
        <v>235</v>
      </c>
      <c r="G304" s="2" t="s">
        <v>243</v>
      </c>
      <c r="H304" s="2" t="s">
        <v>244</v>
      </c>
      <c r="I304" s="2">
        <v>9</v>
      </c>
      <c r="J304" s="2" t="s">
        <v>997</v>
      </c>
      <c r="K304" s="2" t="s">
        <v>310</v>
      </c>
      <c r="L304" s="2">
        <v>15</v>
      </c>
      <c r="M304" s="2" t="s">
        <v>255</v>
      </c>
      <c r="N304" s="2">
        <v>1</v>
      </c>
      <c r="O304" s="2" t="s">
        <v>313</v>
      </c>
      <c r="P304" s="2" t="s">
        <v>313</v>
      </c>
      <c r="Q304" s="2" t="s">
        <v>311</v>
      </c>
      <c r="R304" s="2" t="s">
        <v>311</v>
      </c>
      <c r="S304" s="2" t="s">
        <v>314</v>
      </c>
      <c r="T304" s="2" t="s">
        <v>311</v>
      </c>
      <c r="U304" s="2" t="s">
        <v>311</v>
      </c>
      <c r="V304" s="2" t="s">
        <v>315</v>
      </c>
      <c r="W304" s="2" t="s">
        <v>315</v>
      </c>
      <c r="X304" s="2" t="s">
        <v>317</v>
      </c>
      <c r="Y304" s="2" t="s">
        <v>316</v>
      </c>
      <c r="Z304" s="2" t="s">
        <v>313</v>
      </c>
      <c r="AA304" s="2" t="s">
        <v>316</v>
      </c>
      <c r="AB304" s="2" t="s">
        <v>325</v>
      </c>
      <c r="AC304" s="2" t="s">
        <v>1102</v>
      </c>
      <c r="AD304" s="2" t="s">
        <v>1105</v>
      </c>
    </row>
    <row r="305" spans="1:30" hidden="1" x14ac:dyDescent="0.3">
      <c r="A305" s="2" t="s">
        <v>30</v>
      </c>
      <c r="B305" s="2" t="s">
        <v>541</v>
      </c>
      <c r="C305" s="2" t="s">
        <v>916</v>
      </c>
      <c r="D305" s="2">
        <v>44</v>
      </c>
      <c r="E305" s="2" t="s">
        <v>231</v>
      </c>
      <c r="F305" s="2" t="s">
        <v>236</v>
      </c>
      <c r="G305" s="2" t="s">
        <v>240</v>
      </c>
      <c r="H305" s="2" t="s">
        <v>245</v>
      </c>
      <c r="I305" s="2">
        <v>22</v>
      </c>
      <c r="J305" s="2" t="s">
        <v>1034</v>
      </c>
      <c r="K305" s="2" t="s">
        <v>310</v>
      </c>
      <c r="L305" s="2">
        <v>15</v>
      </c>
      <c r="M305" s="2" t="s">
        <v>241</v>
      </c>
      <c r="N305" s="2">
        <v>0</v>
      </c>
      <c r="O305" s="2" t="s">
        <v>312</v>
      </c>
      <c r="P305" s="2" t="s">
        <v>312</v>
      </c>
      <c r="Q305" s="2" t="s">
        <v>313</v>
      </c>
      <c r="R305" s="2" t="s">
        <v>312</v>
      </c>
      <c r="S305" s="2" t="s">
        <v>314</v>
      </c>
      <c r="T305" s="2" t="s">
        <v>314</v>
      </c>
      <c r="U305" s="2" t="s">
        <v>314</v>
      </c>
      <c r="V305" s="2" t="s">
        <v>315</v>
      </c>
      <c r="W305" s="2" t="s">
        <v>315</v>
      </c>
      <c r="X305" s="2" t="s">
        <v>319</v>
      </c>
      <c r="Y305" s="2" t="s">
        <v>315</v>
      </c>
      <c r="Z305" s="2" t="s">
        <v>313</v>
      </c>
      <c r="AA305" s="2" t="s">
        <v>315</v>
      </c>
      <c r="AB305" s="2" t="s">
        <v>323</v>
      </c>
      <c r="AC305" s="2" t="s">
        <v>1096</v>
      </c>
      <c r="AD305" s="2" t="s">
        <v>1105</v>
      </c>
    </row>
    <row r="306" spans="1:30" x14ac:dyDescent="0.3">
      <c r="A306" s="1">
        <v>45668.118900462963</v>
      </c>
      <c r="B306" s="2" t="s">
        <v>122</v>
      </c>
      <c r="C306" s="2" t="s">
        <v>848</v>
      </c>
      <c r="D306" s="2">
        <v>45</v>
      </c>
      <c r="E306" s="2" t="s">
        <v>232</v>
      </c>
      <c r="F306" s="2" t="s">
        <v>236</v>
      </c>
      <c r="G306" s="2" t="s">
        <v>239</v>
      </c>
      <c r="H306" s="2" t="s">
        <v>245</v>
      </c>
      <c r="I306" s="2">
        <v>25</v>
      </c>
      <c r="J306" s="2" t="s">
        <v>249</v>
      </c>
      <c r="K306" s="2" t="s">
        <v>310</v>
      </c>
      <c r="L306" s="2">
        <v>7</v>
      </c>
      <c r="M306" s="2" t="s">
        <v>275</v>
      </c>
      <c r="N306" s="2">
        <v>2</v>
      </c>
      <c r="O306" s="2" t="s">
        <v>314</v>
      </c>
      <c r="P306" s="2" t="s">
        <v>312</v>
      </c>
      <c r="Q306" s="2" t="s">
        <v>312</v>
      </c>
      <c r="R306" s="2" t="s">
        <v>313</v>
      </c>
      <c r="S306" s="2" t="s">
        <v>313</v>
      </c>
      <c r="T306" s="2" t="s">
        <v>313</v>
      </c>
      <c r="U306" s="2" t="s">
        <v>314</v>
      </c>
      <c r="V306" s="2" t="s">
        <v>315</v>
      </c>
      <c r="W306" s="2" t="s">
        <v>315</v>
      </c>
      <c r="X306" s="2" t="s">
        <v>318</v>
      </c>
      <c r="Y306" s="2" t="s">
        <v>316</v>
      </c>
      <c r="Z306" s="2" t="s">
        <v>313</v>
      </c>
      <c r="AA306" s="2" t="s">
        <v>322</v>
      </c>
      <c r="AB306" s="2" t="s">
        <v>326</v>
      </c>
      <c r="AC306" s="2" t="s">
        <v>418</v>
      </c>
      <c r="AD306" s="2" t="s">
        <v>518</v>
      </c>
    </row>
    <row r="307" spans="1:30" hidden="1" x14ac:dyDescent="0.3">
      <c r="A307" s="2" t="s">
        <v>30</v>
      </c>
      <c r="B307" s="2" t="s">
        <v>627</v>
      </c>
      <c r="C307" s="2" t="s">
        <v>766</v>
      </c>
      <c r="D307" s="2">
        <v>47</v>
      </c>
      <c r="E307" s="2" t="s">
        <v>231</v>
      </c>
      <c r="F307" s="2" t="s">
        <v>237</v>
      </c>
      <c r="G307" s="2" t="s">
        <v>242</v>
      </c>
      <c r="H307" s="2" t="s">
        <v>246</v>
      </c>
      <c r="I307" s="2">
        <v>14</v>
      </c>
      <c r="J307" s="2" t="s">
        <v>1036</v>
      </c>
      <c r="K307" s="2" t="s">
        <v>310</v>
      </c>
      <c r="L307" s="2">
        <v>15</v>
      </c>
      <c r="M307" s="2" t="s">
        <v>275</v>
      </c>
      <c r="N307" s="2">
        <v>0</v>
      </c>
      <c r="O307" s="2" t="s">
        <v>311</v>
      </c>
      <c r="P307" s="2" t="s">
        <v>314</v>
      </c>
      <c r="Q307" s="2" t="s">
        <v>314</v>
      </c>
      <c r="R307" s="2" t="s">
        <v>314</v>
      </c>
      <c r="S307" s="2" t="s">
        <v>312</v>
      </c>
      <c r="T307" s="2" t="s">
        <v>311</v>
      </c>
      <c r="U307" s="2" t="s">
        <v>311</v>
      </c>
      <c r="V307" s="2" t="s">
        <v>315</v>
      </c>
      <c r="W307" s="2" t="s">
        <v>315</v>
      </c>
      <c r="X307" s="2" t="s">
        <v>320</v>
      </c>
      <c r="Y307" s="2" t="s">
        <v>316</v>
      </c>
      <c r="Z307" s="2" t="s">
        <v>313</v>
      </c>
      <c r="AA307" s="2" t="s">
        <v>316</v>
      </c>
      <c r="AB307" s="2" t="s">
        <v>324</v>
      </c>
      <c r="AC307" s="2" t="s">
        <v>1097</v>
      </c>
      <c r="AD307" s="2" t="s">
        <v>1105</v>
      </c>
    </row>
    <row r="308" spans="1:30" x14ac:dyDescent="0.3">
      <c r="A308" s="2" t="s">
        <v>30</v>
      </c>
      <c r="B308" s="2" t="s">
        <v>561</v>
      </c>
      <c r="C308" s="2" t="s">
        <v>764</v>
      </c>
      <c r="D308" s="2">
        <v>49</v>
      </c>
      <c r="E308" s="2" t="s">
        <v>232</v>
      </c>
      <c r="F308" s="2" t="s">
        <v>234</v>
      </c>
      <c r="G308" s="2" t="s">
        <v>239</v>
      </c>
      <c r="H308" s="2" t="s">
        <v>246</v>
      </c>
      <c r="I308" s="2">
        <v>11</v>
      </c>
      <c r="J308" s="2" t="s">
        <v>1011</v>
      </c>
      <c r="K308" s="2" t="s">
        <v>309</v>
      </c>
      <c r="L308" s="2">
        <v>11</v>
      </c>
      <c r="M308" s="2" t="s">
        <v>275</v>
      </c>
      <c r="N308" s="2">
        <v>1</v>
      </c>
      <c r="O308" s="2" t="s">
        <v>311</v>
      </c>
      <c r="P308" s="2" t="s">
        <v>314</v>
      </c>
      <c r="Q308" s="2" t="s">
        <v>314</v>
      </c>
      <c r="R308" s="2" t="s">
        <v>311</v>
      </c>
      <c r="S308" s="2" t="s">
        <v>312</v>
      </c>
      <c r="T308" s="2" t="s">
        <v>311</v>
      </c>
      <c r="U308" s="2" t="s">
        <v>311</v>
      </c>
      <c r="V308" s="2" t="s">
        <v>315</v>
      </c>
      <c r="W308" s="2" t="s">
        <v>315</v>
      </c>
      <c r="X308" s="2" t="s">
        <v>318</v>
      </c>
      <c r="Y308" s="2" t="s">
        <v>316</v>
      </c>
      <c r="Z308" s="2" t="s">
        <v>313</v>
      </c>
      <c r="AA308" s="2" t="s">
        <v>1095</v>
      </c>
      <c r="AB308" s="2" t="s">
        <v>325</v>
      </c>
      <c r="AC308" s="2" t="s">
        <v>1098</v>
      </c>
      <c r="AD308" s="2" t="s">
        <v>1105</v>
      </c>
    </row>
    <row r="309" spans="1:30" x14ac:dyDescent="0.3">
      <c r="A309" s="2" t="s">
        <v>30</v>
      </c>
      <c r="B309" s="2" t="s">
        <v>631</v>
      </c>
      <c r="C309" s="2" t="s">
        <v>901</v>
      </c>
      <c r="D309" s="2">
        <v>51</v>
      </c>
      <c r="E309" s="2" t="s">
        <v>232</v>
      </c>
      <c r="F309" s="2" t="s">
        <v>236</v>
      </c>
      <c r="G309" s="2" t="s">
        <v>239</v>
      </c>
      <c r="H309" s="2" t="s">
        <v>246</v>
      </c>
      <c r="I309" s="2">
        <v>15</v>
      </c>
      <c r="J309" s="2" t="s">
        <v>255</v>
      </c>
      <c r="K309" s="2" t="s">
        <v>308</v>
      </c>
      <c r="L309" s="2">
        <v>17</v>
      </c>
      <c r="M309" s="2" t="s">
        <v>243</v>
      </c>
      <c r="N309" s="2">
        <v>0</v>
      </c>
      <c r="O309" s="2" t="s">
        <v>313</v>
      </c>
      <c r="P309" s="2" t="s">
        <v>312</v>
      </c>
      <c r="Q309" s="2" t="s">
        <v>312</v>
      </c>
      <c r="R309" s="2" t="s">
        <v>311</v>
      </c>
      <c r="S309" s="2" t="s">
        <v>311</v>
      </c>
      <c r="T309" s="2" t="s">
        <v>314</v>
      </c>
      <c r="U309" s="2" t="s">
        <v>314</v>
      </c>
      <c r="V309" s="2" t="s">
        <v>315</v>
      </c>
      <c r="W309" s="2" t="s">
        <v>315</v>
      </c>
      <c r="X309" s="2" t="s">
        <v>319</v>
      </c>
      <c r="Y309" s="2" t="s">
        <v>315</v>
      </c>
      <c r="Z309" s="2" t="s">
        <v>313</v>
      </c>
      <c r="AA309" s="2" t="s">
        <v>1095</v>
      </c>
      <c r="AB309" s="2" t="s">
        <v>325</v>
      </c>
      <c r="AC309" s="2" t="s">
        <v>1099</v>
      </c>
      <c r="AD309" s="2" t="s">
        <v>1105</v>
      </c>
    </row>
    <row r="310" spans="1:30" x14ac:dyDescent="0.3">
      <c r="A310" s="2" t="s">
        <v>30</v>
      </c>
      <c r="B310" s="2" t="s">
        <v>574</v>
      </c>
      <c r="C310" s="2" t="s">
        <v>795</v>
      </c>
      <c r="D310" s="2">
        <v>51</v>
      </c>
      <c r="E310" s="2" t="s">
        <v>232</v>
      </c>
      <c r="F310" s="2" t="s">
        <v>237</v>
      </c>
      <c r="G310" s="2" t="s">
        <v>238</v>
      </c>
      <c r="H310" s="2" t="s">
        <v>244</v>
      </c>
      <c r="I310" s="2">
        <v>9</v>
      </c>
      <c r="J310" s="2" t="s">
        <v>1050</v>
      </c>
      <c r="K310" s="2" t="s">
        <v>308</v>
      </c>
      <c r="L310" s="2">
        <v>3</v>
      </c>
      <c r="M310" s="2" t="s">
        <v>243</v>
      </c>
      <c r="N310" s="2">
        <v>1</v>
      </c>
      <c r="O310" s="2" t="s">
        <v>313</v>
      </c>
      <c r="P310" s="2" t="s">
        <v>314</v>
      </c>
      <c r="Q310" s="2" t="s">
        <v>313</v>
      </c>
      <c r="R310" s="2" t="s">
        <v>313</v>
      </c>
      <c r="S310" s="2" t="s">
        <v>313</v>
      </c>
      <c r="T310" s="2" t="s">
        <v>313</v>
      </c>
      <c r="U310" s="2" t="s">
        <v>313</v>
      </c>
      <c r="V310" s="2" t="s">
        <v>315</v>
      </c>
      <c r="W310" s="2" t="s">
        <v>315</v>
      </c>
      <c r="X310" s="2" t="s">
        <v>317</v>
      </c>
      <c r="Y310" s="2" t="s">
        <v>316</v>
      </c>
      <c r="Z310" s="2" t="s">
        <v>313</v>
      </c>
      <c r="AA310" s="2" t="s">
        <v>316</v>
      </c>
      <c r="AB310" s="2" t="s">
        <v>326</v>
      </c>
      <c r="AC310" s="2" t="s">
        <v>1103</v>
      </c>
      <c r="AD310" s="2" t="s">
        <v>1105</v>
      </c>
    </row>
    <row r="311" spans="1:30" x14ac:dyDescent="0.3">
      <c r="A311" s="2" t="s">
        <v>30</v>
      </c>
      <c r="B311" s="2" t="s">
        <v>544</v>
      </c>
      <c r="C311" s="2" t="s">
        <v>763</v>
      </c>
      <c r="D311" s="2">
        <v>54</v>
      </c>
      <c r="E311" s="2" t="s">
        <v>232</v>
      </c>
      <c r="F311" s="2" t="s">
        <v>234</v>
      </c>
      <c r="G311" s="2" t="s">
        <v>238</v>
      </c>
      <c r="H311" s="2" t="s">
        <v>244</v>
      </c>
      <c r="I311" s="2">
        <v>13</v>
      </c>
      <c r="J311" s="2" t="s">
        <v>989</v>
      </c>
      <c r="K311" s="2" t="s">
        <v>308</v>
      </c>
      <c r="L311" s="2">
        <v>10</v>
      </c>
      <c r="M311" s="2" t="s">
        <v>243</v>
      </c>
      <c r="N311" s="2">
        <v>1</v>
      </c>
      <c r="O311" s="2" t="s">
        <v>312</v>
      </c>
      <c r="P311" s="2" t="s">
        <v>313</v>
      </c>
      <c r="Q311" s="2" t="s">
        <v>312</v>
      </c>
      <c r="R311" s="2" t="s">
        <v>312</v>
      </c>
      <c r="S311" s="2" t="s">
        <v>314</v>
      </c>
      <c r="T311" s="2" t="s">
        <v>314</v>
      </c>
      <c r="U311" s="2" t="s">
        <v>314</v>
      </c>
      <c r="V311" s="2" t="s">
        <v>315</v>
      </c>
      <c r="W311" s="2" t="s">
        <v>315</v>
      </c>
      <c r="X311" s="2" t="s">
        <v>320</v>
      </c>
      <c r="Y311" s="2" t="s">
        <v>315</v>
      </c>
      <c r="Z311" s="2" t="s">
        <v>313</v>
      </c>
      <c r="AA311" s="2" t="s">
        <v>1095</v>
      </c>
      <c r="AB311" s="2" t="s">
        <v>324</v>
      </c>
      <c r="AC311" s="2" t="s">
        <v>1102</v>
      </c>
      <c r="AD311" s="2" t="s">
        <v>1105</v>
      </c>
    </row>
    <row r="312" spans="1:30" hidden="1" x14ac:dyDescent="0.3">
      <c r="A312" s="2" t="s">
        <v>30</v>
      </c>
      <c r="B312" s="2" t="s">
        <v>591</v>
      </c>
      <c r="C312" s="2" t="s">
        <v>694</v>
      </c>
      <c r="D312" s="2">
        <v>55</v>
      </c>
      <c r="E312" s="2" t="s">
        <v>231</v>
      </c>
      <c r="F312" s="2" t="s">
        <v>233</v>
      </c>
      <c r="G312" s="2" t="s">
        <v>242</v>
      </c>
      <c r="H312" s="2" t="s">
        <v>245</v>
      </c>
      <c r="I312" s="2">
        <v>4</v>
      </c>
      <c r="J312" s="2" t="s">
        <v>255</v>
      </c>
      <c r="K312" s="2" t="s">
        <v>310</v>
      </c>
      <c r="L312" s="2">
        <v>0</v>
      </c>
      <c r="M312" s="2" t="s">
        <v>243</v>
      </c>
      <c r="N312" s="2">
        <v>1</v>
      </c>
      <c r="O312" s="2" t="s">
        <v>312</v>
      </c>
      <c r="P312" s="2" t="s">
        <v>311</v>
      </c>
      <c r="Q312" s="2" t="s">
        <v>312</v>
      </c>
      <c r="R312" s="2" t="s">
        <v>312</v>
      </c>
      <c r="S312" s="2" t="s">
        <v>312</v>
      </c>
      <c r="T312" s="2" t="s">
        <v>311</v>
      </c>
      <c r="U312" s="2" t="s">
        <v>311</v>
      </c>
      <c r="V312" s="2" t="s">
        <v>315</v>
      </c>
      <c r="W312" s="2" t="s">
        <v>315</v>
      </c>
      <c r="X312" s="2" t="s">
        <v>318</v>
      </c>
      <c r="Y312" s="2" t="s">
        <v>315</v>
      </c>
      <c r="Z312" s="2" t="s">
        <v>313</v>
      </c>
      <c r="AA312" s="2" t="s">
        <v>316</v>
      </c>
      <c r="AB312" s="2" t="s">
        <v>324</v>
      </c>
      <c r="AC312" s="2" t="s">
        <v>1097</v>
      </c>
      <c r="AD312" s="2" t="s">
        <v>1105</v>
      </c>
    </row>
    <row r="313" spans="1:30" hidden="1" x14ac:dyDescent="0.3">
      <c r="A313" s="1">
        <v>45710.429722222223</v>
      </c>
      <c r="B313" s="2" t="s">
        <v>36</v>
      </c>
      <c r="C313" s="2" t="s">
        <v>716</v>
      </c>
      <c r="D313" s="2">
        <v>56</v>
      </c>
      <c r="E313" s="2" t="s">
        <v>231</v>
      </c>
      <c r="F313" s="2" t="s">
        <v>236</v>
      </c>
      <c r="G313" s="2" t="s">
        <v>239</v>
      </c>
      <c r="H313" s="2" t="s">
        <v>245</v>
      </c>
      <c r="I313" s="2">
        <v>16</v>
      </c>
      <c r="J313" s="2" t="s">
        <v>251</v>
      </c>
      <c r="K313" s="2" t="s">
        <v>310</v>
      </c>
      <c r="L313" s="2">
        <v>2</v>
      </c>
      <c r="M313" s="2" t="s">
        <v>241</v>
      </c>
      <c r="N313" s="2">
        <v>0</v>
      </c>
      <c r="O313" s="2" t="s">
        <v>311</v>
      </c>
      <c r="P313" s="2" t="s">
        <v>312</v>
      </c>
      <c r="Q313" s="2" t="s">
        <v>312</v>
      </c>
      <c r="R313" s="2" t="s">
        <v>314</v>
      </c>
      <c r="S313" s="2" t="s">
        <v>312</v>
      </c>
      <c r="T313" s="2" t="s">
        <v>313</v>
      </c>
      <c r="U313" s="2" t="s">
        <v>314</v>
      </c>
      <c r="V313" s="2" t="s">
        <v>315</v>
      </c>
      <c r="W313" s="2" t="s">
        <v>315</v>
      </c>
      <c r="X313" s="2" t="s">
        <v>317</v>
      </c>
      <c r="Y313" s="2" t="s">
        <v>316</v>
      </c>
      <c r="Z313" s="2" t="s">
        <v>313</v>
      </c>
      <c r="AA313" s="2" t="s">
        <v>322</v>
      </c>
      <c r="AB313" s="2" t="s">
        <v>323</v>
      </c>
      <c r="AC313" s="2" t="s">
        <v>332</v>
      </c>
      <c r="AD313" s="2" t="s">
        <v>432</v>
      </c>
    </row>
    <row r="314" spans="1:30" x14ac:dyDescent="0.3">
      <c r="A314" s="2" t="s">
        <v>30</v>
      </c>
      <c r="B314" s="2" t="s">
        <v>578</v>
      </c>
      <c r="C314" s="2" t="s">
        <v>831</v>
      </c>
      <c r="D314" s="2">
        <v>57</v>
      </c>
      <c r="E314" s="2" t="s">
        <v>232</v>
      </c>
      <c r="F314" s="2" t="s">
        <v>235</v>
      </c>
      <c r="G314" s="2" t="s">
        <v>239</v>
      </c>
      <c r="H314" s="2" t="s">
        <v>244</v>
      </c>
      <c r="I314" s="2">
        <v>30</v>
      </c>
      <c r="J314" s="2" t="s">
        <v>256</v>
      </c>
      <c r="K314" s="2" t="s">
        <v>310</v>
      </c>
      <c r="L314" s="2">
        <v>17</v>
      </c>
      <c r="M314" s="2" t="s">
        <v>275</v>
      </c>
      <c r="N314" s="2">
        <v>1</v>
      </c>
      <c r="O314" s="2" t="s">
        <v>313</v>
      </c>
      <c r="P314" s="2" t="s">
        <v>312</v>
      </c>
      <c r="Q314" s="2" t="s">
        <v>311</v>
      </c>
      <c r="R314" s="2" t="s">
        <v>312</v>
      </c>
      <c r="S314" s="2" t="s">
        <v>312</v>
      </c>
      <c r="T314" s="2" t="s">
        <v>313</v>
      </c>
      <c r="U314" s="2" t="s">
        <v>313</v>
      </c>
      <c r="V314" s="2" t="s">
        <v>315</v>
      </c>
      <c r="W314" s="2" t="s">
        <v>315</v>
      </c>
      <c r="X314" s="2" t="s">
        <v>318</v>
      </c>
      <c r="Y314" s="2" t="s">
        <v>315</v>
      </c>
      <c r="Z314" s="2" t="s">
        <v>313</v>
      </c>
      <c r="AA314" s="2" t="s">
        <v>315</v>
      </c>
      <c r="AB314" s="2" t="s">
        <v>323</v>
      </c>
      <c r="AC314" s="2" t="s">
        <v>1096</v>
      </c>
      <c r="AD314" s="2" t="s">
        <v>1105</v>
      </c>
    </row>
    <row r="315" spans="1:30" hidden="1" x14ac:dyDescent="0.3">
      <c r="A315" s="2" t="s">
        <v>30</v>
      </c>
      <c r="B315" s="2" t="s">
        <v>592</v>
      </c>
      <c r="C315" s="2" t="s">
        <v>821</v>
      </c>
      <c r="D315" s="2">
        <v>57</v>
      </c>
      <c r="E315" s="2" t="s">
        <v>231</v>
      </c>
      <c r="F315" s="2" t="s">
        <v>236</v>
      </c>
      <c r="G315" s="2" t="s">
        <v>238</v>
      </c>
      <c r="H315" s="2" t="s">
        <v>246</v>
      </c>
      <c r="I315" s="2">
        <v>30</v>
      </c>
      <c r="J315" s="2" t="s">
        <v>1004</v>
      </c>
      <c r="K315" s="2" t="s">
        <v>309</v>
      </c>
      <c r="L315" s="2">
        <v>20</v>
      </c>
      <c r="M315" s="2" t="s">
        <v>275</v>
      </c>
      <c r="N315" s="2">
        <v>3</v>
      </c>
      <c r="O315" s="2" t="s">
        <v>312</v>
      </c>
      <c r="P315" s="2" t="s">
        <v>312</v>
      </c>
      <c r="Q315" s="2" t="s">
        <v>313</v>
      </c>
      <c r="R315" s="2" t="s">
        <v>314</v>
      </c>
      <c r="S315" s="2" t="s">
        <v>312</v>
      </c>
      <c r="T315" s="2" t="s">
        <v>314</v>
      </c>
      <c r="U315" s="2" t="s">
        <v>314</v>
      </c>
      <c r="V315" s="2" t="s">
        <v>315</v>
      </c>
      <c r="W315" s="2" t="s">
        <v>315</v>
      </c>
      <c r="X315" s="2" t="s">
        <v>319</v>
      </c>
      <c r="Y315" s="2" t="s">
        <v>315</v>
      </c>
      <c r="Z315" s="2" t="s">
        <v>313</v>
      </c>
      <c r="AA315" s="2" t="s">
        <v>315</v>
      </c>
      <c r="AB315" s="2" t="s">
        <v>324</v>
      </c>
      <c r="AC315" s="2" t="s">
        <v>1096</v>
      </c>
      <c r="AD315" s="2" t="s">
        <v>1105</v>
      </c>
    </row>
    <row r="316" spans="1:30" hidden="1" x14ac:dyDescent="0.3">
      <c r="A316" s="2" t="s">
        <v>30</v>
      </c>
      <c r="B316" s="2" t="s">
        <v>659</v>
      </c>
      <c r="C316" s="2" t="s">
        <v>813</v>
      </c>
      <c r="D316" s="2">
        <v>57</v>
      </c>
      <c r="E316" s="2" t="s">
        <v>231</v>
      </c>
      <c r="F316" s="2" t="s">
        <v>235</v>
      </c>
      <c r="G316" s="2" t="s">
        <v>241</v>
      </c>
      <c r="H316" s="2" t="s">
        <v>244</v>
      </c>
      <c r="I316" s="2">
        <v>25</v>
      </c>
      <c r="J316" s="2" t="s">
        <v>255</v>
      </c>
      <c r="K316" s="2" t="s">
        <v>309</v>
      </c>
      <c r="L316" s="2">
        <v>0</v>
      </c>
      <c r="M316" s="2" t="s">
        <v>275</v>
      </c>
      <c r="N316" s="2">
        <v>1</v>
      </c>
      <c r="O316" s="2" t="s">
        <v>314</v>
      </c>
      <c r="P316" s="2" t="s">
        <v>312</v>
      </c>
      <c r="Q316" s="2" t="s">
        <v>311</v>
      </c>
      <c r="R316" s="2" t="s">
        <v>314</v>
      </c>
      <c r="S316" s="2" t="s">
        <v>313</v>
      </c>
      <c r="T316" s="2" t="s">
        <v>311</v>
      </c>
      <c r="U316" s="2" t="s">
        <v>311</v>
      </c>
      <c r="V316" s="2" t="s">
        <v>315</v>
      </c>
      <c r="W316" s="2" t="s">
        <v>315</v>
      </c>
      <c r="X316" s="2" t="s">
        <v>317</v>
      </c>
      <c r="Y316" s="2" t="s">
        <v>315</v>
      </c>
      <c r="Z316" s="2" t="s">
        <v>313</v>
      </c>
      <c r="AA316" s="2" t="s">
        <v>321</v>
      </c>
      <c r="AB316" s="2" t="s">
        <v>323</v>
      </c>
      <c r="AC316" s="2" t="s">
        <v>1098</v>
      </c>
      <c r="AD316" s="2" t="s">
        <v>1105</v>
      </c>
    </row>
    <row r="317" spans="1:30" hidden="1" x14ac:dyDescent="0.3">
      <c r="A317" s="1">
        <v>45741.348391203697</v>
      </c>
      <c r="B317" s="2" t="s">
        <v>126</v>
      </c>
      <c r="C317" s="2" t="s">
        <v>160</v>
      </c>
      <c r="D317" s="2">
        <v>58</v>
      </c>
      <c r="E317" s="2" t="s">
        <v>231</v>
      </c>
      <c r="F317" s="2" t="s">
        <v>237</v>
      </c>
      <c r="G317" s="2" t="s">
        <v>243</v>
      </c>
      <c r="H317" s="2" t="s">
        <v>246</v>
      </c>
      <c r="I317" s="2">
        <v>15</v>
      </c>
      <c r="J317" s="2" t="s">
        <v>304</v>
      </c>
      <c r="K317" s="2" t="s">
        <v>309</v>
      </c>
      <c r="L317" s="2">
        <v>18</v>
      </c>
      <c r="M317" s="2" t="s">
        <v>249</v>
      </c>
      <c r="N317" s="2">
        <v>2</v>
      </c>
      <c r="O317" s="2" t="s">
        <v>313</v>
      </c>
      <c r="P317" s="2" t="s">
        <v>311</v>
      </c>
      <c r="Q317" s="2" t="s">
        <v>314</v>
      </c>
      <c r="R317" s="2" t="s">
        <v>311</v>
      </c>
      <c r="S317" s="2" t="s">
        <v>313</v>
      </c>
      <c r="T317" s="2" t="s">
        <v>314</v>
      </c>
      <c r="U317" s="2" t="s">
        <v>311</v>
      </c>
      <c r="V317" s="2" t="s">
        <v>315</v>
      </c>
      <c r="W317" s="2" t="s">
        <v>315</v>
      </c>
      <c r="X317" s="2" t="s">
        <v>317</v>
      </c>
      <c r="Y317" s="2" t="s">
        <v>316</v>
      </c>
      <c r="Z317" s="2" t="s">
        <v>313</v>
      </c>
      <c r="AA317" s="2" t="s">
        <v>322</v>
      </c>
      <c r="AB317" s="2" t="s">
        <v>325</v>
      </c>
      <c r="AC317" s="2" t="s">
        <v>422</v>
      </c>
      <c r="AD317" s="2" t="s">
        <v>522</v>
      </c>
    </row>
    <row r="318" spans="1:30" x14ac:dyDescent="0.3">
      <c r="A318" s="2" t="s">
        <v>30</v>
      </c>
      <c r="B318" s="2" t="s">
        <v>565</v>
      </c>
      <c r="C318" s="2" t="s">
        <v>705</v>
      </c>
      <c r="D318" s="2">
        <v>59</v>
      </c>
      <c r="E318" s="2" t="s">
        <v>232</v>
      </c>
      <c r="F318" s="2" t="s">
        <v>236</v>
      </c>
      <c r="G318" s="2" t="s">
        <v>238</v>
      </c>
      <c r="H318" s="2" t="s">
        <v>245</v>
      </c>
      <c r="I318" s="2">
        <v>15</v>
      </c>
      <c r="J318" s="2" t="s">
        <v>1024</v>
      </c>
      <c r="K318" s="2" t="s">
        <v>309</v>
      </c>
      <c r="L318" s="2">
        <v>18</v>
      </c>
      <c r="M318" s="2" t="s">
        <v>241</v>
      </c>
      <c r="N318" s="2">
        <v>1</v>
      </c>
      <c r="O318" s="2" t="s">
        <v>311</v>
      </c>
      <c r="P318" s="2" t="s">
        <v>312</v>
      </c>
      <c r="Q318" s="2" t="s">
        <v>312</v>
      </c>
      <c r="R318" s="2" t="s">
        <v>314</v>
      </c>
      <c r="S318" s="2" t="s">
        <v>312</v>
      </c>
      <c r="T318" s="2" t="s">
        <v>313</v>
      </c>
      <c r="U318" s="2" t="s">
        <v>313</v>
      </c>
      <c r="V318" s="2" t="s">
        <v>315</v>
      </c>
      <c r="W318" s="2" t="s">
        <v>315</v>
      </c>
      <c r="X318" s="2" t="s">
        <v>320</v>
      </c>
      <c r="Y318" s="2" t="s">
        <v>316</v>
      </c>
      <c r="Z318" s="2" t="s">
        <v>313</v>
      </c>
      <c r="AA318" s="2" t="s">
        <v>316</v>
      </c>
      <c r="AB318" s="2" t="s">
        <v>325</v>
      </c>
      <c r="AC318" s="2" t="s">
        <v>1099</v>
      </c>
      <c r="AD318" s="2" t="s">
        <v>1105</v>
      </c>
    </row>
    <row r="319" spans="1:30" x14ac:dyDescent="0.3">
      <c r="A319" s="2" t="s">
        <v>30</v>
      </c>
      <c r="B319" s="2" t="s">
        <v>636</v>
      </c>
      <c r="C319" s="2" t="s">
        <v>793</v>
      </c>
      <c r="D319" s="2">
        <v>59</v>
      </c>
      <c r="E319" s="2" t="s">
        <v>232</v>
      </c>
      <c r="F319" s="2" t="s">
        <v>234</v>
      </c>
      <c r="G319" s="2" t="s">
        <v>239</v>
      </c>
      <c r="H319" s="2" t="s">
        <v>246</v>
      </c>
      <c r="I319" s="2">
        <v>20</v>
      </c>
      <c r="J319" s="2" t="s">
        <v>243</v>
      </c>
      <c r="K319" s="2" t="s">
        <v>310</v>
      </c>
      <c r="L319" s="2">
        <v>8</v>
      </c>
      <c r="M319" s="2" t="s">
        <v>275</v>
      </c>
      <c r="N319" s="2">
        <v>2</v>
      </c>
      <c r="O319" s="2" t="s">
        <v>313</v>
      </c>
      <c r="P319" s="2" t="s">
        <v>314</v>
      </c>
      <c r="Q319" s="2" t="s">
        <v>314</v>
      </c>
      <c r="R319" s="2" t="s">
        <v>312</v>
      </c>
      <c r="S319" s="2" t="s">
        <v>312</v>
      </c>
      <c r="T319" s="2" t="s">
        <v>314</v>
      </c>
      <c r="U319" s="2" t="s">
        <v>314</v>
      </c>
      <c r="V319" s="2" t="s">
        <v>315</v>
      </c>
      <c r="W319" s="2" t="s">
        <v>315</v>
      </c>
      <c r="X319" s="2" t="s">
        <v>317</v>
      </c>
      <c r="Y319" s="2" t="s">
        <v>315</v>
      </c>
      <c r="Z319" s="2" t="s">
        <v>313</v>
      </c>
      <c r="AA319" s="2" t="s">
        <v>321</v>
      </c>
      <c r="AB319" s="2" t="s">
        <v>326</v>
      </c>
      <c r="AC319" s="2" t="s">
        <v>1099</v>
      </c>
      <c r="AD319" s="2" t="s">
        <v>1105</v>
      </c>
    </row>
    <row r="320" spans="1:30" x14ac:dyDescent="0.3">
      <c r="A320" s="2" t="s">
        <v>30</v>
      </c>
      <c r="B320" s="2" t="s">
        <v>651</v>
      </c>
      <c r="C320" s="2" t="s">
        <v>902</v>
      </c>
      <c r="D320" s="2">
        <v>27</v>
      </c>
      <c r="E320" s="2" t="s">
        <v>232</v>
      </c>
      <c r="F320" s="2" t="s">
        <v>235</v>
      </c>
      <c r="G320" s="2" t="s">
        <v>238</v>
      </c>
      <c r="H320" s="2" t="s">
        <v>245</v>
      </c>
      <c r="I320" s="2">
        <v>14</v>
      </c>
      <c r="J320" s="2" t="s">
        <v>258</v>
      </c>
      <c r="K320" s="2" t="s">
        <v>310</v>
      </c>
      <c r="L320" s="2">
        <v>14</v>
      </c>
      <c r="M320" s="2" t="s">
        <v>243</v>
      </c>
      <c r="N320" s="2">
        <v>1</v>
      </c>
      <c r="O320" s="2" t="s">
        <v>311</v>
      </c>
      <c r="P320" s="2" t="s">
        <v>311</v>
      </c>
      <c r="Q320" s="2" t="s">
        <v>314</v>
      </c>
      <c r="R320" s="2" t="s">
        <v>311</v>
      </c>
      <c r="S320" s="2" t="s">
        <v>311</v>
      </c>
      <c r="T320" s="2" t="s">
        <v>312</v>
      </c>
      <c r="U320" s="2" t="s">
        <v>312</v>
      </c>
      <c r="V320" s="2" t="s">
        <v>315</v>
      </c>
      <c r="W320" s="2" t="s">
        <v>315</v>
      </c>
      <c r="X320" s="2" t="s">
        <v>317</v>
      </c>
      <c r="Y320" s="2" t="s">
        <v>316</v>
      </c>
      <c r="Z320" s="2" t="s">
        <v>311</v>
      </c>
      <c r="AA320" s="2" t="s">
        <v>315</v>
      </c>
      <c r="AB320" s="2" t="s">
        <v>326</v>
      </c>
      <c r="AC320" s="2" t="s">
        <v>1103</v>
      </c>
      <c r="AD320" s="2" t="s">
        <v>1105</v>
      </c>
    </row>
    <row r="321" spans="1:30" hidden="1" x14ac:dyDescent="0.3">
      <c r="A321" s="2" t="s">
        <v>30</v>
      </c>
      <c r="B321" s="2" t="s">
        <v>593</v>
      </c>
      <c r="C321" s="2" t="s">
        <v>830</v>
      </c>
      <c r="D321" s="2">
        <v>28</v>
      </c>
      <c r="E321" s="2" t="s">
        <v>231</v>
      </c>
      <c r="F321" s="2" t="s">
        <v>233</v>
      </c>
      <c r="G321" s="2" t="s">
        <v>238</v>
      </c>
      <c r="H321" s="2" t="s">
        <v>246</v>
      </c>
      <c r="I321" s="2">
        <v>22</v>
      </c>
      <c r="J321" s="2" t="s">
        <v>262</v>
      </c>
      <c r="K321" s="2" t="s">
        <v>309</v>
      </c>
      <c r="L321" s="2">
        <v>3</v>
      </c>
      <c r="M321" s="2" t="s">
        <v>243</v>
      </c>
      <c r="N321" s="2">
        <v>2</v>
      </c>
      <c r="O321" s="2" t="s">
        <v>313</v>
      </c>
      <c r="P321" s="2" t="s">
        <v>312</v>
      </c>
      <c r="Q321" s="2" t="s">
        <v>312</v>
      </c>
      <c r="R321" s="2" t="s">
        <v>313</v>
      </c>
      <c r="S321" s="2" t="s">
        <v>312</v>
      </c>
      <c r="T321" s="2" t="s">
        <v>314</v>
      </c>
      <c r="U321" s="2" t="s">
        <v>314</v>
      </c>
      <c r="V321" s="2" t="s">
        <v>315</v>
      </c>
      <c r="W321" s="2" t="s">
        <v>315</v>
      </c>
      <c r="X321" s="2" t="s">
        <v>317</v>
      </c>
      <c r="Y321" s="2" t="s">
        <v>315</v>
      </c>
      <c r="Z321" s="2" t="s">
        <v>311</v>
      </c>
      <c r="AA321" s="2" t="s">
        <v>321</v>
      </c>
      <c r="AB321" s="2" t="s">
        <v>326</v>
      </c>
      <c r="AC321" s="2" t="s">
        <v>1103</v>
      </c>
      <c r="AD321" s="2" t="s">
        <v>1105</v>
      </c>
    </row>
    <row r="322" spans="1:30" x14ac:dyDescent="0.3">
      <c r="A322" s="2" t="s">
        <v>30</v>
      </c>
      <c r="B322" s="2" t="s">
        <v>608</v>
      </c>
      <c r="C322" s="2" t="s">
        <v>927</v>
      </c>
      <c r="D322" s="2">
        <v>29</v>
      </c>
      <c r="E322" s="2" t="s">
        <v>232</v>
      </c>
      <c r="F322" s="2" t="s">
        <v>236</v>
      </c>
      <c r="G322" s="2" t="s">
        <v>238</v>
      </c>
      <c r="H322" s="2" t="s">
        <v>245</v>
      </c>
      <c r="I322" s="2">
        <v>16</v>
      </c>
      <c r="J322" s="2" t="s">
        <v>270</v>
      </c>
      <c r="K322" s="2" t="s">
        <v>310</v>
      </c>
      <c r="L322" s="2">
        <v>15</v>
      </c>
      <c r="M322" s="2" t="s">
        <v>243</v>
      </c>
      <c r="N322" s="2">
        <v>3</v>
      </c>
      <c r="O322" s="2" t="s">
        <v>313</v>
      </c>
      <c r="P322" s="2" t="s">
        <v>314</v>
      </c>
      <c r="Q322" s="2" t="s">
        <v>313</v>
      </c>
      <c r="R322" s="2" t="s">
        <v>313</v>
      </c>
      <c r="S322" s="2" t="s">
        <v>311</v>
      </c>
      <c r="T322" s="2" t="s">
        <v>311</v>
      </c>
      <c r="U322" s="2" t="s">
        <v>311</v>
      </c>
      <c r="V322" s="2" t="s">
        <v>315</v>
      </c>
      <c r="W322" s="2" t="s">
        <v>315</v>
      </c>
      <c r="X322" s="2" t="s">
        <v>320</v>
      </c>
      <c r="Y322" s="2" t="s">
        <v>315</v>
      </c>
      <c r="Z322" s="2" t="s">
        <v>311</v>
      </c>
      <c r="AA322" s="2" t="s">
        <v>316</v>
      </c>
      <c r="AB322" s="2" t="s">
        <v>324</v>
      </c>
      <c r="AC322" s="2" t="s">
        <v>1099</v>
      </c>
      <c r="AD322" s="2" t="s">
        <v>1105</v>
      </c>
    </row>
    <row r="323" spans="1:30" hidden="1" x14ac:dyDescent="0.3">
      <c r="A323" s="2" t="s">
        <v>30</v>
      </c>
      <c r="B323" s="2" t="s">
        <v>607</v>
      </c>
      <c r="C323" s="2" t="s">
        <v>840</v>
      </c>
      <c r="D323" s="2">
        <v>29</v>
      </c>
      <c r="E323" s="2" t="s">
        <v>231</v>
      </c>
      <c r="F323" s="2" t="s">
        <v>237</v>
      </c>
      <c r="G323" s="2" t="s">
        <v>242</v>
      </c>
      <c r="H323" s="2" t="s">
        <v>246</v>
      </c>
      <c r="I323" s="2">
        <v>28</v>
      </c>
      <c r="J323" s="2" t="s">
        <v>277</v>
      </c>
      <c r="K323" s="2" t="s">
        <v>309</v>
      </c>
      <c r="L323" s="2">
        <v>16</v>
      </c>
      <c r="M323" s="2" t="s">
        <v>262</v>
      </c>
      <c r="N323" s="2">
        <v>2</v>
      </c>
      <c r="O323" s="2" t="s">
        <v>312</v>
      </c>
      <c r="P323" s="2" t="s">
        <v>314</v>
      </c>
      <c r="Q323" s="2" t="s">
        <v>314</v>
      </c>
      <c r="R323" s="2" t="s">
        <v>311</v>
      </c>
      <c r="S323" s="2" t="s">
        <v>312</v>
      </c>
      <c r="T323" s="2" t="s">
        <v>314</v>
      </c>
      <c r="U323" s="2" t="s">
        <v>314</v>
      </c>
      <c r="V323" s="2" t="s">
        <v>315</v>
      </c>
      <c r="W323" s="2" t="s">
        <v>315</v>
      </c>
      <c r="X323" s="2" t="s">
        <v>319</v>
      </c>
      <c r="Y323" s="2" t="s">
        <v>315</v>
      </c>
      <c r="Z323" s="2" t="s">
        <v>311</v>
      </c>
      <c r="AA323" s="2" t="s">
        <v>316</v>
      </c>
      <c r="AB323" s="2" t="s">
        <v>325</v>
      </c>
      <c r="AC323" s="2" t="s">
        <v>1104</v>
      </c>
      <c r="AD323" s="2" t="s">
        <v>1105</v>
      </c>
    </row>
    <row r="324" spans="1:30" hidden="1" x14ac:dyDescent="0.3">
      <c r="A324" s="2" t="s">
        <v>30</v>
      </c>
      <c r="B324" s="2" t="s">
        <v>599</v>
      </c>
      <c r="C324" s="2" t="s">
        <v>820</v>
      </c>
      <c r="D324" s="2">
        <v>32</v>
      </c>
      <c r="E324" s="2" t="s">
        <v>231</v>
      </c>
      <c r="F324" s="2" t="s">
        <v>233</v>
      </c>
      <c r="G324" s="2" t="s">
        <v>238</v>
      </c>
      <c r="H324" s="2" t="s">
        <v>245</v>
      </c>
      <c r="I324" s="2">
        <v>5</v>
      </c>
      <c r="J324" s="2" t="s">
        <v>1006</v>
      </c>
      <c r="K324" s="2" t="s">
        <v>310</v>
      </c>
      <c r="L324" s="2">
        <v>17</v>
      </c>
      <c r="M324" s="2" t="s">
        <v>241</v>
      </c>
      <c r="N324" s="2">
        <v>2</v>
      </c>
      <c r="O324" s="2" t="s">
        <v>314</v>
      </c>
      <c r="P324" s="2" t="s">
        <v>314</v>
      </c>
      <c r="Q324" s="2" t="s">
        <v>312</v>
      </c>
      <c r="R324" s="2" t="s">
        <v>311</v>
      </c>
      <c r="S324" s="2" t="s">
        <v>311</v>
      </c>
      <c r="T324" s="2" t="s">
        <v>313</v>
      </c>
      <c r="U324" s="2" t="s">
        <v>313</v>
      </c>
      <c r="V324" s="2" t="s">
        <v>315</v>
      </c>
      <c r="W324" s="2" t="s">
        <v>315</v>
      </c>
      <c r="X324" s="2" t="s">
        <v>317</v>
      </c>
      <c r="Y324" s="2" t="s">
        <v>315</v>
      </c>
      <c r="Z324" s="2" t="s">
        <v>311</v>
      </c>
      <c r="AA324" s="2" t="s">
        <v>316</v>
      </c>
      <c r="AB324" s="2" t="s">
        <v>325</v>
      </c>
      <c r="AC324" s="2" t="s">
        <v>1097</v>
      </c>
      <c r="AD324" s="2" t="s">
        <v>1105</v>
      </c>
    </row>
    <row r="325" spans="1:30" x14ac:dyDescent="0.3">
      <c r="A325" s="2" t="s">
        <v>30</v>
      </c>
      <c r="B325" s="2" t="s">
        <v>534</v>
      </c>
      <c r="C325" s="2" t="s">
        <v>874</v>
      </c>
      <c r="D325" s="2">
        <v>32</v>
      </c>
      <c r="E325" s="2" t="s">
        <v>232</v>
      </c>
      <c r="F325" s="2" t="s">
        <v>234</v>
      </c>
      <c r="G325" s="2" t="s">
        <v>241</v>
      </c>
      <c r="H325" s="2" t="s">
        <v>244</v>
      </c>
      <c r="I325" s="2">
        <v>1</v>
      </c>
      <c r="J325" s="2" t="s">
        <v>1070</v>
      </c>
      <c r="K325" s="2" t="s">
        <v>309</v>
      </c>
      <c r="L325" s="2">
        <v>1</v>
      </c>
      <c r="M325" s="2" t="s">
        <v>275</v>
      </c>
      <c r="N325" s="2">
        <v>3</v>
      </c>
      <c r="O325" s="2" t="s">
        <v>313</v>
      </c>
      <c r="P325" s="2" t="s">
        <v>314</v>
      </c>
      <c r="Q325" s="2" t="s">
        <v>311</v>
      </c>
      <c r="R325" s="2" t="s">
        <v>314</v>
      </c>
      <c r="S325" s="2" t="s">
        <v>312</v>
      </c>
      <c r="T325" s="2" t="s">
        <v>312</v>
      </c>
      <c r="U325" s="2" t="s">
        <v>312</v>
      </c>
      <c r="V325" s="2" t="s">
        <v>315</v>
      </c>
      <c r="W325" s="2" t="s">
        <v>315</v>
      </c>
      <c r="X325" s="2" t="s">
        <v>318</v>
      </c>
      <c r="Y325" s="2" t="s">
        <v>315</v>
      </c>
      <c r="Z325" s="2" t="s">
        <v>311</v>
      </c>
      <c r="AA325" s="2" t="s">
        <v>321</v>
      </c>
      <c r="AB325" s="2" t="s">
        <v>324</v>
      </c>
      <c r="AC325" s="2" t="s">
        <v>1101</v>
      </c>
      <c r="AD325" s="2" t="s">
        <v>1105</v>
      </c>
    </row>
    <row r="326" spans="1:30" x14ac:dyDescent="0.3">
      <c r="A326" s="2" t="s">
        <v>30</v>
      </c>
      <c r="B326" s="2" t="s">
        <v>550</v>
      </c>
      <c r="C326" s="2" t="s">
        <v>915</v>
      </c>
      <c r="D326" s="2">
        <v>36</v>
      </c>
      <c r="E326" s="2" t="s">
        <v>232</v>
      </c>
      <c r="F326" s="2" t="s">
        <v>237</v>
      </c>
      <c r="G326" s="2" t="s">
        <v>238</v>
      </c>
      <c r="H326" s="2" t="s">
        <v>245</v>
      </c>
      <c r="I326" s="2">
        <v>9</v>
      </c>
      <c r="J326" s="2" t="s">
        <v>282</v>
      </c>
      <c r="K326" s="2" t="s">
        <v>308</v>
      </c>
      <c r="L326" s="2">
        <v>9</v>
      </c>
      <c r="M326" s="2" t="s">
        <v>243</v>
      </c>
      <c r="N326" s="2">
        <v>0</v>
      </c>
      <c r="O326" s="2" t="s">
        <v>311</v>
      </c>
      <c r="P326" s="2" t="s">
        <v>311</v>
      </c>
      <c r="Q326" s="2" t="s">
        <v>311</v>
      </c>
      <c r="R326" s="2" t="s">
        <v>312</v>
      </c>
      <c r="S326" s="2" t="s">
        <v>312</v>
      </c>
      <c r="T326" s="2" t="s">
        <v>312</v>
      </c>
      <c r="U326" s="2" t="s">
        <v>312</v>
      </c>
      <c r="V326" s="2" t="s">
        <v>315</v>
      </c>
      <c r="W326" s="2" t="s">
        <v>315</v>
      </c>
      <c r="X326" s="2" t="s">
        <v>317</v>
      </c>
      <c r="Y326" s="2" t="s">
        <v>315</v>
      </c>
      <c r="Z326" s="2" t="s">
        <v>311</v>
      </c>
      <c r="AA326" s="2" t="s">
        <v>315</v>
      </c>
      <c r="AB326" s="2" t="s">
        <v>325</v>
      </c>
      <c r="AC326" s="2" t="s">
        <v>1101</v>
      </c>
      <c r="AD326" s="2" t="s">
        <v>1105</v>
      </c>
    </row>
    <row r="327" spans="1:30" x14ac:dyDescent="0.3">
      <c r="A327" s="2" t="s">
        <v>30</v>
      </c>
      <c r="B327" s="2" t="s">
        <v>559</v>
      </c>
      <c r="C327" s="2" t="s">
        <v>857</v>
      </c>
      <c r="D327" s="2">
        <v>36</v>
      </c>
      <c r="E327" s="2" t="s">
        <v>232</v>
      </c>
      <c r="F327" s="2" t="s">
        <v>233</v>
      </c>
      <c r="G327" s="2" t="s">
        <v>241</v>
      </c>
      <c r="H327" s="2" t="s">
        <v>246</v>
      </c>
      <c r="I327" s="2">
        <v>6</v>
      </c>
      <c r="J327" s="2" t="s">
        <v>258</v>
      </c>
      <c r="K327" s="2" t="s">
        <v>308</v>
      </c>
      <c r="L327" s="2">
        <v>7</v>
      </c>
      <c r="M327" s="2" t="s">
        <v>275</v>
      </c>
      <c r="N327" s="2">
        <v>1</v>
      </c>
      <c r="O327" s="2" t="s">
        <v>311</v>
      </c>
      <c r="P327" s="2" t="s">
        <v>312</v>
      </c>
      <c r="Q327" s="2" t="s">
        <v>311</v>
      </c>
      <c r="R327" s="2" t="s">
        <v>314</v>
      </c>
      <c r="S327" s="2" t="s">
        <v>314</v>
      </c>
      <c r="T327" s="2" t="s">
        <v>311</v>
      </c>
      <c r="U327" s="2" t="s">
        <v>311</v>
      </c>
      <c r="V327" s="2" t="s">
        <v>315</v>
      </c>
      <c r="W327" s="2" t="s">
        <v>315</v>
      </c>
      <c r="X327" s="2" t="s">
        <v>320</v>
      </c>
      <c r="Y327" s="2" t="s">
        <v>315</v>
      </c>
      <c r="Z327" s="2" t="s">
        <v>311</v>
      </c>
      <c r="AA327" s="2" t="s">
        <v>315</v>
      </c>
      <c r="AB327" s="2" t="s">
        <v>326</v>
      </c>
      <c r="AC327" s="2" t="s">
        <v>1097</v>
      </c>
      <c r="AD327" s="2" t="s">
        <v>1105</v>
      </c>
    </row>
    <row r="328" spans="1:30" hidden="1" x14ac:dyDescent="0.3">
      <c r="A328" s="2" t="s">
        <v>30</v>
      </c>
      <c r="B328" s="2" t="s">
        <v>548</v>
      </c>
      <c r="C328" s="2" t="s">
        <v>156</v>
      </c>
      <c r="D328" s="2">
        <v>37</v>
      </c>
      <c r="E328" s="2" t="s">
        <v>231</v>
      </c>
      <c r="F328" s="2" t="s">
        <v>236</v>
      </c>
      <c r="G328" s="2" t="s">
        <v>243</v>
      </c>
      <c r="H328" s="2" t="s">
        <v>246</v>
      </c>
      <c r="I328" s="2">
        <v>4</v>
      </c>
      <c r="J328" s="2" t="s">
        <v>985</v>
      </c>
      <c r="K328" s="2" t="s">
        <v>309</v>
      </c>
      <c r="L328" s="2">
        <v>4</v>
      </c>
      <c r="M328" s="2" t="s">
        <v>255</v>
      </c>
      <c r="N328" s="2">
        <v>2</v>
      </c>
      <c r="O328" s="2" t="s">
        <v>312</v>
      </c>
      <c r="P328" s="2" t="s">
        <v>312</v>
      </c>
      <c r="Q328" s="2" t="s">
        <v>312</v>
      </c>
      <c r="R328" s="2" t="s">
        <v>311</v>
      </c>
      <c r="S328" s="2" t="s">
        <v>313</v>
      </c>
      <c r="T328" s="2" t="s">
        <v>313</v>
      </c>
      <c r="U328" s="2" t="s">
        <v>313</v>
      </c>
      <c r="V328" s="2" t="s">
        <v>315</v>
      </c>
      <c r="W328" s="2" t="s">
        <v>315</v>
      </c>
      <c r="X328" s="2" t="s">
        <v>319</v>
      </c>
      <c r="Y328" s="2" t="s">
        <v>316</v>
      </c>
      <c r="Z328" s="2" t="s">
        <v>311</v>
      </c>
      <c r="AA328" s="2" t="s">
        <v>316</v>
      </c>
      <c r="AB328" s="2" t="s">
        <v>326</v>
      </c>
      <c r="AC328" s="2" t="s">
        <v>1103</v>
      </c>
      <c r="AD328" s="2" t="s">
        <v>1105</v>
      </c>
    </row>
    <row r="329" spans="1:30" hidden="1" x14ac:dyDescent="0.3">
      <c r="A329" s="1">
        <v>45832.648958333331</v>
      </c>
      <c r="B329" s="2" t="s">
        <v>88</v>
      </c>
      <c r="C329" s="2" t="s">
        <v>185</v>
      </c>
      <c r="D329" s="2">
        <v>38</v>
      </c>
      <c r="E329" s="2" t="s">
        <v>231</v>
      </c>
      <c r="F329" s="2" t="s">
        <v>237</v>
      </c>
      <c r="G329" s="2" t="s">
        <v>243</v>
      </c>
      <c r="H329" s="2" t="s">
        <v>246</v>
      </c>
      <c r="I329" s="2">
        <v>34</v>
      </c>
      <c r="J329" s="2" t="s">
        <v>248</v>
      </c>
      <c r="K329" s="2" t="s">
        <v>308</v>
      </c>
      <c r="L329" s="2">
        <v>9</v>
      </c>
      <c r="M329" s="2" t="s">
        <v>241</v>
      </c>
      <c r="N329" s="2">
        <v>3</v>
      </c>
      <c r="O329" s="2" t="s">
        <v>312</v>
      </c>
      <c r="P329" s="2" t="s">
        <v>314</v>
      </c>
      <c r="Q329" s="2" t="s">
        <v>314</v>
      </c>
      <c r="R329" s="2" t="s">
        <v>311</v>
      </c>
      <c r="S329" s="2" t="s">
        <v>311</v>
      </c>
      <c r="T329" s="2" t="s">
        <v>314</v>
      </c>
      <c r="U329" s="2" t="s">
        <v>311</v>
      </c>
      <c r="V329" s="2" t="s">
        <v>315</v>
      </c>
      <c r="W329" s="2" t="s">
        <v>315</v>
      </c>
      <c r="X329" s="2" t="s">
        <v>317</v>
      </c>
      <c r="Y329" s="2" t="s">
        <v>316</v>
      </c>
      <c r="Z329" s="2" t="s">
        <v>311</v>
      </c>
      <c r="AA329" s="2" t="s">
        <v>316</v>
      </c>
      <c r="AB329" s="2" t="s">
        <v>326</v>
      </c>
      <c r="AC329" s="2" t="s">
        <v>384</v>
      </c>
      <c r="AD329" s="2" t="s">
        <v>484</v>
      </c>
    </row>
    <row r="330" spans="1:30" x14ac:dyDescent="0.3">
      <c r="A330" s="2" t="s">
        <v>30</v>
      </c>
      <c r="B330" s="2" t="s">
        <v>655</v>
      </c>
      <c r="C330" s="2" t="s">
        <v>1113</v>
      </c>
      <c r="D330" s="2">
        <v>40</v>
      </c>
      <c r="E330" s="2" t="s">
        <v>232</v>
      </c>
      <c r="F330" s="2" t="s">
        <v>236</v>
      </c>
      <c r="G330" s="2" t="s">
        <v>239</v>
      </c>
      <c r="H330" s="2" t="s">
        <v>245</v>
      </c>
      <c r="I330" s="2">
        <v>24</v>
      </c>
      <c r="J330" s="2" t="s">
        <v>259</v>
      </c>
      <c r="K330" s="2" t="s">
        <v>309</v>
      </c>
      <c r="L330" s="2">
        <v>4</v>
      </c>
      <c r="M330" s="2" t="s">
        <v>255</v>
      </c>
      <c r="N330" s="2">
        <v>2</v>
      </c>
      <c r="O330" s="2" t="s">
        <v>311</v>
      </c>
      <c r="P330" s="2" t="s">
        <v>313</v>
      </c>
      <c r="Q330" s="2" t="s">
        <v>311</v>
      </c>
      <c r="R330" s="2" t="s">
        <v>311</v>
      </c>
      <c r="S330" s="2" t="s">
        <v>312</v>
      </c>
      <c r="T330" s="2" t="s">
        <v>312</v>
      </c>
      <c r="U330" s="2" t="s">
        <v>312</v>
      </c>
      <c r="V330" s="2" t="s">
        <v>315</v>
      </c>
      <c r="W330" s="2" t="s">
        <v>315</v>
      </c>
      <c r="X330" s="2" t="s">
        <v>317</v>
      </c>
      <c r="Y330" s="2" t="s">
        <v>316</v>
      </c>
      <c r="Z330" s="2" t="s">
        <v>311</v>
      </c>
      <c r="AA330" s="2" t="s">
        <v>1095</v>
      </c>
      <c r="AB330" s="2" t="s">
        <v>325</v>
      </c>
      <c r="AC330" s="2" t="s">
        <v>1098</v>
      </c>
      <c r="AD330" s="2" t="s">
        <v>1105</v>
      </c>
    </row>
    <row r="331" spans="1:30" hidden="1" x14ac:dyDescent="0.3">
      <c r="A331" s="1">
        <v>45738.813946759263</v>
      </c>
      <c r="B331" s="2" t="s">
        <v>32</v>
      </c>
      <c r="C331" s="2" t="s">
        <v>686</v>
      </c>
      <c r="D331" s="2">
        <v>42</v>
      </c>
      <c r="E331" s="2" t="s">
        <v>231</v>
      </c>
      <c r="F331" s="2" t="s">
        <v>234</v>
      </c>
      <c r="G331" s="2" t="s">
        <v>239</v>
      </c>
      <c r="H331" s="2" t="s">
        <v>244</v>
      </c>
      <c r="I331" s="2">
        <v>6</v>
      </c>
      <c r="J331" s="2" t="s">
        <v>248</v>
      </c>
      <c r="K331" s="2" t="s">
        <v>309</v>
      </c>
      <c r="L331" s="2">
        <v>19</v>
      </c>
      <c r="M331" s="2" t="s">
        <v>243</v>
      </c>
      <c r="N331" s="2">
        <v>3</v>
      </c>
      <c r="O331" s="2" t="s">
        <v>314</v>
      </c>
      <c r="P331" s="2" t="s">
        <v>311</v>
      </c>
      <c r="Q331" s="2" t="s">
        <v>314</v>
      </c>
      <c r="R331" s="2" t="s">
        <v>311</v>
      </c>
      <c r="S331" s="2" t="s">
        <v>313</v>
      </c>
      <c r="T331" s="2" t="s">
        <v>313</v>
      </c>
      <c r="U331" s="2" t="s">
        <v>312</v>
      </c>
      <c r="V331" s="2" t="s">
        <v>315</v>
      </c>
      <c r="W331" s="2" t="s">
        <v>315</v>
      </c>
      <c r="X331" s="2" t="s">
        <v>318</v>
      </c>
      <c r="Y331" s="2" t="s">
        <v>316</v>
      </c>
      <c r="Z331" s="2" t="s">
        <v>311</v>
      </c>
      <c r="AA331" s="2" t="s">
        <v>321</v>
      </c>
      <c r="AB331" s="2" t="s">
        <v>324</v>
      </c>
      <c r="AC331" s="2" t="s">
        <v>328</v>
      </c>
      <c r="AD331" s="2" t="s">
        <v>428</v>
      </c>
    </row>
    <row r="332" spans="1:30" hidden="1" x14ac:dyDescent="0.3">
      <c r="A332" s="1">
        <v>45700.261643518519</v>
      </c>
      <c r="B332" s="2" t="s">
        <v>130</v>
      </c>
      <c r="C332" s="2" t="s">
        <v>872</v>
      </c>
      <c r="D332" s="2">
        <v>43</v>
      </c>
      <c r="E332" s="2" t="s">
        <v>231</v>
      </c>
      <c r="F332" s="2" t="s">
        <v>234</v>
      </c>
      <c r="G332" s="2" t="s">
        <v>239</v>
      </c>
      <c r="H332" s="2" t="s">
        <v>245</v>
      </c>
      <c r="I332" s="2">
        <v>4</v>
      </c>
      <c r="J332" s="2" t="s">
        <v>307</v>
      </c>
      <c r="K332" s="2" t="s">
        <v>308</v>
      </c>
      <c r="L332" s="2">
        <v>6</v>
      </c>
      <c r="M332" s="2" t="s">
        <v>255</v>
      </c>
      <c r="N332" s="2">
        <v>0</v>
      </c>
      <c r="O332" s="2" t="s">
        <v>314</v>
      </c>
      <c r="P332" s="2" t="s">
        <v>314</v>
      </c>
      <c r="Q332" s="2" t="s">
        <v>314</v>
      </c>
      <c r="R332" s="2" t="s">
        <v>314</v>
      </c>
      <c r="S332" s="2" t="s">
        <v>314</v>
      </c>
      <c r="T332" s="2" t="s">
        <v>314</v>
      </c>
      <c r="U332" s="2" t="s">
        <v>312</v>
      </c>
      <c r="V332" s="2" t="s">
        <v>315</v>
      </c>
      <c r="W332" s="2" t="s">
        <v>315</v>
      </c>
      <c r="X332" s="2" t="s">
        <v>318</v>
      </c>
      <c r="Y332" s="2" t="s">
        <v>316</v>
      </c>
      <c r="Z332" s="2" t="s">
        <v>311</v>
      </c>
      <c r="AA332" s="2" t="s">
        <v>322</v>
      </c>
      <c r="AB332" s="2" t="s">
        <v>325</v>
      </c>
      <c r="AC332" s="2" t="s">
        <v>426</v>
      </c>
      <c r="AD332" s="2" t="s">
        <v>526</v>
      </c>
    </row>
    <row r="333" spans="1:30" hidden="1" x14ac:dyDescent="0.3">
      <c r="A333" s="2" t="s">
        <v>30</v>
      </c>
      <c r="B333" s="2" t="s">
        <v>602</v>
      </c>
      <c r="C333" s="2" t="s">
        <v>197</v>
      </c>
      <c r="D333" s="2">
        <v>43</v>
      </c>
      <c r="E333" s="2" t="s">
        <v>231</v>
      </c>
      <c r="F333" s="2" t="s">
        <v>236</v>
      </c>
      <c r="G333" s="2" t="s">
        <v>240</v>
      </c>
      <c r="H333" s="2" t="s">
        <v>246</v>
      </c>
      <c r="I333" s="2">
        <v>1</v>
      </c>
      <c r="J333" s="2" t="s">
        <v>995</v>
      </c>
      <c r="K333" s="2" t="s">
        <v>308</v>
      </c>
      <c r="L333" s="2">
        <v>15</v>
      </c>
      <c r="M333" s="2" t="s">
        <v>251</v>
      </c>
      <c r="N333" s="2">
        <v>3</v>
      </c>
      <c r="O333" s="2" t="s">
        <v>313</v>
      </c>
      <c r="P333" s="2" t="s">
        <v>314</v>
      </c>
      <c r="Q333" s="2" t="s">
        <v>314</v>
      </c>
      <c r="R333" s="2" t="s">
        <v>313</v>
      </c>
      <c r="S333" s="2" t="s">
        <v>313</v>
      </c>
      <c r="T333" s="2" t="s">
        <v>314</v>
      </c>
      <c r="U333" s="2" t="s">
        <v>314</v>
      </c>
      <c r="V333" s="2" t="s">
        <v>315</v>
      </c>
      <c r="W333" s="2" t="s">
        <v>315</v>
      </c>
      <c r="X333" s="2" t="s">
        <v>317</v>
      </c>
      <c r="Y333" s="2" t="s">
        <v>316</v>
      </c>
      <c r="Z333" s="2" t="s">
        <v>311</v>
      </c>
      <c r="AA333" s="2" t="s">
        <v>321</v>
      </c>
      <c r="AB333" s="2" t="s">
        <v>326</v>
      </c>
      <c r="AC333" s="2" t="s">
        <v>1102</v>
      </c>
      <c r="AD333" s="2" t="s">
        <v>1105</v>
      </c>
    </row>
    <row r="334" spans="1:30" x14ac:dyDescent="0.3">
      <c r="A334" s="2" t="s">
        <v>30</v>
      </c>
      <c r="B334" s="2" t="s">
        <v>545</v>
      </c>
      <c r="C334" s="2" t="s">
        <v>225</v>
      </c>
      <c r="D334" s="2">
        <v>43</v>
      </c>
      <c r="E334" s="2" t="s">
        <v>232</v>
      </c>
      <c r="F334" s="2" t="s">
        <v>236</v>
      </c>
      <c r="G334" s="2" t="s">
        <v>239</v>
      </c>
      <c r="H334" s="2" t="s">
        <v>245</v>
      </c>
      <c r="I334" s="2">
        <v>20</v>
      </c>
      <c r="J334" s="2" t="s">
        <v>991</v>
      </c>
      <c r="K334" s="2" t="s">
        <v>310</v>
      </c>
      <c r="L334" s="2">
        <v>12</v>
      </c>
      <c r="M334" s="2" t="s">
        <v>243</v>
      </c>
      <c r="N334" s="2">
        <v>3</v>
      </c>
      <c r="O334" s="2" t="s">
        <v>311</v>
      </c>
      <c r="P334" s="2" t="s">
        <v>312</v>
      </c>
      <c r="Q334" s="2" t="s">
        <v>314</v>
      </c>
      <c r="R334" s="2" t="s">
        <v>312</v>
      </c>
      <c r="S334" s="2" t="s">
        <v>311</v>
      </c>
      <c r="T334" s="2" t="s">
        <v>312</v>
      </c>
      <c r="U334" s="2" t="s">
        <v>312</v>
      </c>
      <c r="V334" s="2" t="s">
        <v>315</v>
      </c>
      <c r="W334" s="2" t="s">
        <v>315</v>
      </c>
      <c r="X334" s="2" t="s">
        <v>318</v>
      </c>
      <c r="Y334" s="2" t="s">
        <v>316</v>
      </c>
      <c r="Z334" s="2" t="s">
        <v>311</v>
      </c>
      <c r="AA334" s="2" t="s">
        <v>1095</v>
      </c>
      <c r="AB334" s="2" t="s">
        <v>326</v>
      </c>
      <c r="AC334" s="2" t="s">
        <v>1096</v>
      </c>
      <c r="AD334" s="2" t="s">
        <v>1105</v>
      </c>
    </row>
    <row r="335" spans="1:30" hidden="1" x14ac:dyDescent="0.3">
      <c r="A335" s="2" t="s">
        <v>30</v>
      </c>
      <c r="B335" s="2" t="s">
        <v>567</v>
      </c>
      <c r="C335" s="2" t="s">
        <v>850</v>
      </c>
      <c r="D335" s="2">
        <v>44</v>
      </c>
      <c r="E335" s="2" t="s">
        <v>231</v>
      </c>
      <c r="F335" s="2" t="s">
        <v>235</v>
      </c>
      <c r="G335" s="2" t="s">
        <v>238</v>
      </c>
      <c r="H335" s="2" t="s">
        <v>244</v>
      </c>
      <c r="I335" s="2">
        <v>7</v>
      </c>
      <c r="J335" s="2" t="s">
        <v>248</v>
      </c>
      <c r="K335" s="2" t="s">
        <v>309</v>
      </c>
      <c r="L335" s="2">
        <v>5</v>
      </c>
      <c r="M335" s="2" t="s">
        <v>255</v>
      </c>
      <c r="N335" s="2">
        <v>3</v>
      </c>
      <c r="O335" s="2" t="s">
        <v>313</v>
      </c>
      <c r="P335" s="2" t="s">
        <v>312</v>
      </c>
      <c r="Q335" s="2" t="s">
        <v>313</v>
      </c>
      <c r="R335" s="2" t="s">
        <v>313</v>
      </c>
      <c r="S335" s="2" t="s">
        <v>312</v>
      </c>
      <c r="T335" s="2" t="s">
        <v>313</v>
      </c>
      <c r="U335" s="2" t="s">
        <v>313</v>
      </c>
      <c r="V335" s="2" t="s">
        <v>315</v>
      </c>
      <c r="W335" s="2" t="s">
        <v>315</v>
      </c>
      <c r="X335" s="2" t="s">
        <v>317</v>
      </c>
      <c r="Y335" s="2" t="s">
        <v>316</v>
      </c>
      <c r="Z335" s="2" t="s">
        <v>311</v>
      </c>
      <c r="AA335" s="2" t="s">
        <v>315</v>
      </c>
      <c r="AB335" s="2" t="s">
        <v>324</v>
      </c>
      <c r="AC335" s="2" t="s">
        <v>1104</v>
      </c>
      <c r="AD335" s="2" t="s">
        <v>1105</v>
      </c>
    </row>
    <row r="336" spans="1:30" x14ac:dyDescent="0.3">
      <c r="A336" s="1">
        <v>45730.666689814818</v>
      </c>
      <c r="B336" s="2" t="s">
        <v>52</v>
      </c>
      <c r="C336" s="2" t="s">
        <v>199</v>
      </c>
      <c r="D336" s="2">
        <v>45</v>
      </c>
      <c r="E336" s="2" t="s">
        <v>232</v>
      </c>
      <c r="F336" s="2" t="s">
        <v>235</v>
      </c>
      <c r="G336" s="2" t="s">
        <v>239</v>
      </c>
      <c r="H336" s="2" t="s">
        <v>245</v>
      </c>
      <c r="I336" s="2">
        <v>17</v>
      </c>
      <c r="J336" s="2" t="s">
        <v>262</v>
      </c>
      <c r="K336" s="2" t="s">
        <v>308</v>
      </c>
      <c r="L336" s="2">
        <v>17</v>
      </c>
      <c r="M336" s="2" t="s">
        <v>241</v>
      </c>
      <c r="N336" s="2">
        <v>1</v>
      </c>
      <c r="O336" s="2" t="s">
        <v>312</v>
      </c>
      <c r="P336" s="2" t="s">
        <v>311</v>
      </c>
      <c r="Q336" s="2" t="s">
        <v>311</v>
      </c>
      <c r="R336" s="2" t="s">
        <v>311</v>
      </c>
      <c r="S336" s="2" t="s">
        <v>312</v>
      </c>
      <c r="T336" s="2" t="s">
        <v>312</v>
      </c>
      <c r="U336" s="2" t="s">
        <v>311</v>
      </c>
      <c r="V336" s="2" t="s">
        <v>315</v>
      </c>
      <c r="W336" s="2" t="s">
        <v>315</v>
      </c>
      <c r="X336" s="2" t="s">
        <v>318</v>
      </c>
      <c r="Y336" s="2" t="s">
        <v>316</v>
      </c>
      <c r="Z336" s="2" t="s">
        <v>311</v>
      </c>
      <c r="AA336" s="2" t="s">
        <v>316</v>
      </c>
      <c r="AB336" s="2" t="s">
        <v>325</v>
      </c>
      <c r="AC336" s="2" t="s">
        <v>348</v>
      </c>
      <c r="AD336" s="2" t="s">
        <v>448</v>
      </c>
    </row>
    <row r="337" spans="1:30" hidden="1" x14ac:dyDescent="0.3">
      <c r="A337" s="2" t="s">
        <v>30</v>
      </c>
      <c r="B337" s="2" t="s">
        <v>547</v>
      </c>
      <c r="C337" s="2" t="s">
        <v>891</v>
      </c>
      <c r="D337" s="2">
        <v>45</v>
      </c>
      <c r="E337" s="2" t="s">
        <v>231</v>
      </c>
      <c r="F337" s="2" t="s">
        <v>234</v>
      </c>
      <c r="G337" s="2" t="s">
        <v>242</v>
      </c>
      <c r="H337" s="2" t="s">
        <v>244</v>
      </c>
      <c r="I337" s="2">
        <v>22</v>
      </c>
      <c r="J337" s="2" t="s">
        <v>963</v>
      </c>
      <c r="K337" s="2" t="s">
        <v>309</v>
      </c>
      <c r="L337" s="2">
        <v>16</v>
      </c>
      <c r="M337" s="2" t="s">
        <v>243</v>
      </c>
      <c r="N337" s="2">
        <v>2</v>
      </c>
      <c r="O337" s="2" t="s">
        <v>312</v>
      </c>
      <c r="P337" s="2" t="s">
        <v>314</v>
      </c>
      <c r="Q337" s="2" t="s">
        <v>314</v>
      </c>
      <c r="R337" s="2" t="s">
        <v>313</v>
      </c>
      <c r="S337" s="2" t="s">
        <v>312</v>
      </c>
      <c r="T337" s="2" t="s">
        <v>313</v>
      </c>
      <c r="U337" s="2" t="s">
        <v>313</v>
      </c>
      <c r="V337" s="2" t="s">
        <v>315</v>
      </c>
      <c r="W337" s="2" t="s">
        <v>315</v>
      </c>
      <c r="X337" s="2" t="s">
        <v>320</v>
      </c>
      <c r="Y337" s="2" t="s">
        <v>316</v>
      </c>
      <c r="Z337" s="2" t="s">
        <v>311</v>
      </c>
      <c r="AA337" s="2" t="s">
        <v>315</v>
      </c>
      <c r="AB337" s="2" t="s">
        <v>324</v>
      </c>
      <c r="AC337" s="2" t="s">
        <v>1101</v>
      </c>
      <c r="AD337" s="2" t="s">
        <v>1105</v>
      </c>
    </row>
    <row r="338" spans="1:30" hidden="1" x14ac:dyDescent="0.3">
      <c r="A338" s="2" t="s">
        <v>30</v>
      </c>
      <c r="B338" s="2" t="s">
        <v>607</v>
      </c>
      <c r="C338" s="2" t="s">
        <v>732</v>
      </c>
      <c r="D338" s="2">
        <v>47</v>
      </c>
      <c r="E338" s="2" t="s">
        <v>231</v>
      </c>
      <c r="F338" s="2" t="s">
        <v>236</v>
      </c>
      <c r="G338" s="2" t="s">
        <v>242</v>
      </c>
      <c r="H338" s="2" t="s">
        <v>246</v>
      </c>
      <c r="I338" s="2">
        <v>4</v>
      </c>
      <c r="J338" s="2" t="s">
        <v>1015</v>
      </c>
      <c r="K338" s="2" t="s">
        <v>308</v>
      </c>
      <c r="L338" s="2">
        <v>16</v>
      </c>
      <c r="M338" s="2" t="s">
        <v>262</v>
      </c>
      <c r="N338" s="2">
        <v>2</v>
      </c>
      <c r="O338" s="2" t="s">
        <v>313</v>
      </c>
      <c r="P338" s="2" t="s">
        <v>314</v>
      </c>
      <c r="Q338" s="2" t="s">
        <v>313</v>
      </c>
      <c r="R338" s="2" t="s">
        <v>314</v>
      </c>
      <c r="S338" s="2" t="s">
        <v>314</v>
      </c>
      <c r="T338" s="2" t="s">
        <v>311</v>
      </c>
      <c r="U338" s="2" t="s">
        <v>311</v>
      </c>
      <c r="V338" s="2" t="s">
        <v>315</v>
      </c>
      <c r="W338" s="2" t="s">
        <v>315</v>
      </c>
      <c r="X338" s="2" t="s">
        <v>319</v>
      </c>
      <c r="Y338" s="2" t="s">
        <v>315</v>
      </c>
      <c r="Z338" s="2" t="s">
        <v>311</v>
      </c>
      <c r="AA338" s="2" t="s">
        <v>315</v>
      </c>
      <c r="AB338" s="2" t="s">
        <v>325</v>
      </c>
      <c r="AC338" s="2" t="s">
        <v>1104</v>
      </c>
      <c r="AD338" s="2" t="s">
        <v>1105</v>
      </c>
    </row>
    <row r="339" spans="1:30" x14ac:dyDescent="0.3">
      <c r="A339" s="2" t="s">
        <v>30</v>
      </c>
      <c r="B339" s="2" t="s">
        <v>628</v>
      </c>
      <c r="C339" s="2" t="s">
        <v>165</v>
      </c>
      <c r="D339" s="2">
        <v>47</v>
      </c>
      <c r="E339" s="2" t="s">
        <v>232</v>
      </c>
      <c r="F339" s="2" t="s">
        <v>234</v>
      </c>
      <c r="G339" s="2" t="s">
        <v>243</v>
      </c>
      <c r="H339" s="2" t="s">
        <v>245</v>
      </c>
      <c r="I339" s="2">
        <v>16</v>
      </c>
      <c r="J339" s="2" t="s">
        <v>251</v>
      </c>
      <c r="K339" s="2" t="s">
        <v>309</v>
      </c>
      <c r="L339" s="2">
        <v>17</v>
      </c>
      <c r="M339" s="2" t="s">
        <v>241</v>
      </c>
      <c r="N339" s="2">
        <v>1</v>
      </c>
      <c r="O339" s="2" t="s">
        <v>312</v>
      </c>
      <c r="P339" s="2" t="s">
        <v>313</v>
      </c>
      <c r="Q339" s="2" t="s">
        <v>311</v>
      </c>
      <c r="R339" s="2" t="s">
        <v>314</v>
      </c>
      <c r="S339" s="2" t="s">
        <v>314</v>
      </c>
      <c r="T339" s="2" t="s">
        <v>313</v>
      </c>
      <c r="U339" s="2" t="s">
        <v>313</v>
      </c>
      <c r="V339" s="2" t="s">
        <v>315</v>
      </c>
      <c r="W339" s="2" t="s">
        <v>315</v>
      </c>
      <c r="X339" s="2" t="s">
        <v>318</v>
      </c>
      <c r="Y339" s="2" t="s">
        <v>315</v>
      </c>
      <c r="Z339" s="2" t="s">
        <v>311</v>
      </c>
      <c r="AA339" s="2" t="s">
        <v>1095</v>
      </c>
      <c r="AB339" s="2" t="s">
        <v>325</v>
      </c>
      <c r="AC339" s="2" t="s">
        <v>1101</v>
      </c>
      <c r="AD339" s="2" t="s">
        <v>1105</v>
      </c>
    </row>
    <row r="340" spans="1:30" hidden="1" x14ac:dyDescent="0.3">
      <c r="A340" s="2" t="s">
        <v>30</v>
      </c>
      <c r="B340" s="2" t="s">
        <v>556</v>
      </c>
      <c r="C340" s="2" t="s">
        <v>885</v>
      </c>
      <c r="D340" s="2">
        <v>51</v>
      </c>
      <c r="E340" s="2" t="s">
        <v>231</v>
      </c>
      <c r="F340" s="2" t="s">
        <v>233</v>
      </c>
      <c r="G340" s="2" t="s">
        <v>242</v>
      </c>
      <c r="H340" s="2" t="s">
        <v>244</v>
      </c>
      <c r="I340" s="2">
        <v>3</v>
      </c>
      <c r="J340" s="2" t="s">
        <v>1010</v>
      </c>
      <c r="K340" s="2" t="s">
        <v>308</v>
      </c>
      <c r="L340" s="2">
        <v>9</v>
      </c>
      <c r="M340" s="2" t="s">
        <v>249</v>
      </c>
      <c r="N340" s="2">
        <v>2</v>
      </c>
      <c r="O340" s="2" t="s">
        <v>311</v>
      </c>
      <c r="P340" s="2" t="s">
        <v>313</v>
      </c>
      <c r="Q340" s="2" t="s">
        <v>312</v>
      </c>
      <c r="R340" s="2" t="s">
        <v>312</v>
      </c>
      <c r="S340" s="2" t="s">
        <v>312</v>
      </c>
      <c r="T340" s="2" t="s">
        <v>312</v>
      </c>
      <c r="U340" s="2" t="s">
        <v>312</v>
      </c>
      <c r="V340" s="2" t="s">
        <v>315</v>
      </c>
      <c r="W340" s="2" t="s">
        <v>315</v>
      </c>
      <c r="X340" s="2" t="s">
        <v>317</v>
      </c>
      <c r="Y340" s="2" t="s">
        <v>315</v>
      </c>
      <c r="Z340" s="2" t="s">
        <v>311</v>
      </c>
      <c r="AA340" s="2" t="s">
        <v>316</v>
      </c>
      <c r="AB340" s="2" t="s">
        <v>323</v>
      </c>
      <c r="AC340" s="2" t="s">
        <v>1104</v>
      </c>
      <c r="AD340" s="2" t="s">
        <v>1105</v>
      </c>
    </row>
    <row r="341" spans="1:30" hidden="1" x14ac:dyDescent="0.3">
      <c r="A341" s="2" t="s">
        <v>30</v>
      </c>
      <c r="B341" s="2" t="s">
        <v>646</v>
      </c>
      <c r="C341" s="2" t="s">
        <v>187</v>
      </c>
      <c r="D341" s="2">
        <v>51</v>
      </c>
      <c r="E341" s="2" t="s">
        <v>231</v>
      </c>
      <c r="F341" s="2" t="s">
        <v>235</v>
      </c>
      <c r="G341" s="2" t="s">
        <v>243</v>
      </c>
      <c r="H341" s="2" t="s">
        <v>245</v>
      </c>
      <c r="I341" s="2">
        <v>29</v>
      </c>
      <c r="J341" s="2" t="s">
        <v>1060</v>
      </c>
      <c r="K341" s="2" t="s">
        <v>309</v>
      </c>
      <c r="L341" s="2">
        <v>6</v>
      </c>
      <c r="M341" s="2" t="s">
        <v>255</v>
      </c>
      <c r="N341" s="2">
        <v>2</v>
      </c>
      <c r="O341" s="2" t="s">
        <v>313</v>
      </c>
      <c r="P341" s="2" t="s">
        <v>312</v>
      </c>
      <c r="Q341" s="2" t="s">
        <v>312</v>
      </c>
      <c r="R341" s="2" t="s">
        <v>312</v>
      </c>
      <c r="S341" s="2" t="s">
        <v>313</v>
      </c>
      <c r="T341" s="2" t="s">
        <v>312</v>
      </c>
      <c r="U341" s="2" t="s">
        <v>312</v>
      </c>
      <c r="V341" s="2" t="s">
        <v>315</v>
      </c>
      <c r="W341" s="2" t="s">
        <v>315</v>
      </c>
      <c r="X341" s="2" t="s">
        <v>318</v>
      </c>
      <c r="Y341" s="2" t="s">
        <v>315</v>
      </c>
      <c r="Z341" s="2" t="s">
        <v>311</v>
      </c>
      <c r="AA341" s="2" t="s">
        <v>315</v>
      </c>
      <c r="AB341" s="2" t="s">
        <v>325</v>
      </c>
      <c r="AC341" s="2" t="s">
        <v>1099</v>
      </c>
      <c r="AD341" s="2" t="s">
        <v>1105</v>
      </c>
    </row>
    <row r="342" spans="1:30" x14ac:dyDescent="0.3">
      <c r="A342" s="1">
        <v>45757.192164351851</v>
      </c>
      <c r="B342" s="2" t="s">
        <v>43</v>
      </c>
      <c r="C342" s="2" t="s">
        <v>757</v>
      </c>
      <c r="D342" s="2">
        <v>52</v>
      </c>
      <c r="E342" s="2" t="s">
        <v>232</v>
      </c>
      <c r="F342" s="2" t="s">
        <v>236</v>
      </c>
      <c r="G342" s="2" t="s">
        <v>242</v>
      </c>
      <c r="H342" s="2" t="s">
        <v>245</v>
      </c>
      <c r="I342" s="2">
        <v>9</v>
      </c>
      <c r="J342" s="2" t="s">
        <v>254</v>
      </c>
      <c r="K342" s="2" t="s">
        <v>310</v>
      </c>
      <c r="L342" s="2">
        <v>13</v>
      </c>
      <c r="M342" s="2" t="s">
        <v>275</v>
      </c>
      <c r="N342" s="2">
        <v>3</v>
      </c>
      <c r="O342" s="2" t="s">
        <v>311</v>
      </c>
      <c r="P342" s="2" t="s">
        <v>311</v>
      </c>
      <c r="Q342" s="2" t="s">
        <v>312</v>
      </c>
      <c r="R342" s="2" t="s">
        <v>311</v>
      </c>
      <c r="S342" s="2" t="s">
        <v>313</v>
      </c>
      <c r="T342" s="2" t="s">
        <v>312</v>
      </c>
      <c r="U342" s="2" t="s">
        <v>314</v>
      </c>
      <c r="V342" s="2" t="s">
        <v>315</v>
      </c>
      <c r="W342" s="2" t="s">
        <v>315</v>
      </c>
      <c r="X342" s="2" t="s">
        <v>317</v>
      </c>
      <c r="Y342" s="2" t="s">
        <v>316</v>
      </c>
      <c r="Z342" s="2" t="s">
        <v>311</v>
      </c>
      <c r="AA342" s="2" t="s">
        <v>322</v>
      </c>
      <c r="AB342" s="2" t="s">
        <v>325</v>
      </c>
      <c r="AC342" s="2" t="s">
        <v>339</v>
      </c>
      <c r="AD342" s="2" t="s">
        <v>439</v>
      </c>
    </row>
    <row r="343" spans="1:30" hidden="1" x14ac:dyDescent="0.3">
      <c r="A343" s="2" t="s">
        <v>30</v>
      </c>
      <c r="B343" s="2" t="s">
        <v>620</v>
      </c>
      <c r="C343" s="2" t="s">
        <v>667</v>
      </c>
      <c r="D343" s="2">
        <v>54</v>
      </c>
      <c r="E343" s="2" t="s">
        <v>231</v>
      </c>
      <c r="F343" s="2" t="s">
        <v>233</v>
      </c>
      <c r="G343" s="2" t="s">
        <v>238</v>
      </c>
      <c r="H343" s="2" t="s">
        <v>246</v>
      </c>
      <c r="I343" s="2">
        <v>13</v>
      </c>
      <c r="J343" s="2" t="s">
        <v>1048</v>
      </c>
      <c r="K343" s="2" t="s">
        <v>308</v>
      </c>
      <c r="L343" s="2">
        <v>5</v>
      </c>
      <c r="M343" s="2" t="s">
        <v>241</v>
      </c>
      <c r="N343" s="2">
        <v>1</v>
      </c>
      <c r="O343" s="2" t="s">
        <v>312</v>
      </c>
      <c r="P343" s="2" t="s">
        <v>312</v>
      </c>
      <c r="Q343" s="2" t="s">
        <v>314</v>
      </c>
      <c r="R343" s="2" t="s">
        <v>312</v>
      </c>
      <c r="S343" s="2" t="s">
        <v>314</v>
      </c>
      <c r="T343" s="2" t="s">
        <v>313</v>
      </c>
      <c r="U343" s="2" t="s">
        <v>313</v>
      </c>
      <c r="V343" s="2" t="s">
        <v>315</v>
      </c>
      <c r="W343" s="2" t="s">
        <v>315</v>
      </c>
      <c r="X343" s="2" t="s">
        <v>317</v>
      </c>
      <c r="Y343" s="2" t="s">
        <v>315</v>
      </c>
      <c r="Z343" s="2" t="s">
        <v>311</v>
      </c>
      <c r="AA343" s="2" t="s">
        <v>1095</v>
      </c>
      <c r="AB343" s="2" t="s">
        <v>325</v>
      </c>
      <c r="AC343" s="2" t="s">
        <v>1098</v>
      </c>
      <c r="AD343" s="2" t="s">
        <v>1105</v>
      </c>
    </row>
    <row r="344" spans="1:30" hidden="1" x14ac:dyDescent="0.3">
      <c r="A344" s="2" t="s">
        <v>30</v>
      </c>
      <c r="B344" s="2" t="s">
        <v>531</v>
      </c>
      <c r="C344" s="2" t="s">
        <v>895</v>
      </c>
      <c r="D344" s="2">
        <v>58</v>
      </c>
      <c r="E344" s="2" t="s">
        <v>231</v>
      </c>
      <c r="F344" s="2" t="s">
        <v>233</v>
      </c>
      <c r="G344" s="2" t="s">
        <v>242</v>
      </c>
      <c r="H344" s="2" t="s">
        <v>244</v>
      </c>
      <c r="I344" s="2">
        <v>1</v>
      </c>
      <c r="J344" s="2" t="s">
        <v>255</v>
      </c>
      <c r="K344" s="2" t="s">
        <v>310</v>
      </c>
      <c r="L344" s="2">
        <v>5</v>
      </c>
      <c r="M344" s="2" t="s">
        <v>249</v>
      </c>
      <c r="N344" s="2">
        <v>3</v>
      </c>
      <c r="O344" s="2" t="s">
        <v>311</v>
      </c>
      <c r="P344" s="2" t="s">
        <v>312</v>
      </c>
      <c r="Q344" s="2" t="s">
        <v>314</v>
      </c>
      <c r="R344" s="2" t="s">
        <v>313</v>
      </c>
      <c r="S344" s="2" t="s">
        <v>314</v>
      </c>
      <c r="T344" s="2" t="s">
        <v>313</v>
      </c>
      <c r="U344" s="2" t="s">
        <v>313</v>
      </c>
      <c r="V344" s="2" t="s">
        <v>315</v>
      </c>
      <c r="W344" s="2" t="s">
        <v>315</v>
      </c>
      <c r="X344" s="2" t="s">
        <v>318</v>
      </c>
      <c r="Y344" s="2" t="s">
        <v>316</v>
      </c>
      <c r="Z344" s="2" t="s">
        <v>311</v>
      </c>
      <c r="AA344" s="2" t="s">
        <v>321</v>
      </c>
      <c r="AB344" s="2" t="s">
        <v>324</v>
      </c>
      <c r="AC344" s="2" t="s">
        <v>1104</v>
      </c>
      <c r="AD344" s="2" t="s">
        <v>1105</v>
      </c>
    </row>
    <row r="345" spans="1:30" x14ac:dyDescent="0.3">
      <c r="A345" s="2" t="s">
        <v>30</v>
      </c>
      <c r="B345" s="2" t="s">
        <v>529</v>
      </c>
      <c r="C345" s="2" t="s">
        <v>682</v>
      </c>
      <c r="D345" s="2">
        <v>58</v>
      </c>
      <c r="E345" s="2" t="s">
        <v>232</v>
      </c>
      <c r="F345" s="2" t="s">
        <v>234</v>
      </c>
      <c r="G345" s="2" t="s">
        <v>242</v>
      </c>
      <c r="H345" s="2" t="s">
        <v>246</v>
      </c>
      <c r="I345" s="2">
        <v>20</v>
      </c>
      <c r="J345" s="2" t="s">
        <v>1001</v>
      </c>
      <c r="K345" s="2" t="s">
        <v>310</v>
      </c>
      <c r="L345" s="2">
        <v>11</v>
      </c>
      <c r="M345" s="2" t="s">
        <v>241</v>
      </c>
      <c r="N345" s="2">
        <v>3</v>
      </c>
      <c r="O345" s="2" t="s">
        <v>313</v>
      </c>
      <c r="P345" s="2" t="s">
        <v>311</v>
      </c>
      <c r="Q345" s="2" t="s">
        <v>311</v>
      </c>
      <c r="R345" s="2" t="s">
        <v>312</v>
      </c>
      <c r="S345" s="2" t="s">
        <v>314</v>
      </c>
      <c r="T345" s="2" t="s">
        <v>314</v>
      </c>
      <c r="U345" s="2" t="s">
        <v>314</v>
      </c>
      <c r="V345" s="2" t="s">
        <v>315</v>
      </c>
      <c r="W345" s="2" t="s">
        <v>315</v>
      </c>
      <c r="X345" s="2" t="s">
        <v>319</v>
      </c>
      <c r="Y345" s="2" t="s">
        <v>315</v>
      </c>
      <c r="Z345" s="2" t="s">
        <v>311</v>
      </c>
      <c r="AA345" s="2" t="s">
        <v>321</v>
      </c>
      <c r="AB345" s="2" t="s">
        <v>323</v>
      </c>
      <c r="AC345" s="2" t="s">
        <v>1101</v>
      </c>
      <c r="AD345" s="2" t="s">
        <v>1105</v>
      </c>
    </row>
    <row r="346" spans="1:30" x14ac:dyDescent="0.3">
      <c r="A346" s="2" t="s">
        <v>30</v>
      </c>
      <c r="B346" s="2" t="s">
        <v>638</v>
      </c>
      <c r="C346" s="2" t="s">
        <v>164</v>
      </c>
      <c r="D346" s="2">
        <v>58</v>
      </c>
      <c r="E346" s="2" t="s">
        <v>232</v>
      </c>
      <c r="F346" s="2" t="s">
        <v>233</v>
      </c>
      <c r="G346" s="2" t="s">
        <v>239</v>
      </c>
      <c r="H346" s="2" t="s">
        <v>244</v>
      </c>
      <c r="I346" s="2">
        <v>9</v>
      </c>
      <c r="J346" s="2" t="s">
        <v>241</v>
      </c>
      <c r="K346" s="2" t="s">
        <v>309</v>
      </c>
      <c r="L346" s="2">
        <v>15</v>
      </c>
      <c r="M346" s="2" t="s">
        <v>255</v>
      </c>
      <c r="N346" s="2">
        <v>3</v>
      </c>
      <c r="O346" s="2" t="s">
        <v>314</v>
      </c>
      <c r="P346" s="2" t="s">
        <v>313</v>
      </c>
      <c r="Q346" s="2" t="s">
        <v>314</v>
      </c>
      <c r="R346" s="2" t="s">
        <v>312</v>
      </c>
      <c r="S346" s="2" t="s">
        <v>313</v>
      </c>
      <c r="T346" s="2" t="s">
        <v>311</v>
      </c>
      <c r="U346" s="2" t="s">
        <v>311</v>
      </c>
      <c r="V346" s="2" t="s">
        <v>315</v>
      </c>
      <c r="W346" s="2" t="s">
        <v>315</v>
      </c>
      <c r="X346" s="2" t="s">
        <v>318</v>
      </c>
      <c r="Y346" s="2" t="s">
        <v>316</v>
      </c>
      <c r="Z346" s="2" t="s">
        <v>311</v>
      </c>
      <c r="AA346" s="2" t="s">
        <v>1095</v>
      </c>
      <c r="AB346" s="2" t="s">
        <v>324</v>
      </c>
      <c r="AC346" s="2" t="s">
        <v>1100</v>
      </c>
      <c r="AD346" s="2" t="s">
        <v>1105</v>
      </c>
    </row>
    <row r="347" spans="1:30" x14ac:dyDescent="0.3">
      <c r="A347" s="2" t="s">
        <v>30</v>
      </c>
      <c r="B347" s="2" t="s">
        <v>572</v>
      </c>
      <c r="C347" s="2" t="s">
        <v>710</v>
      </c>
      <c r="D347" s="2">
        <v>60</v>
      </c>
      <c r="E347" s="2" t="s">
        <v>232</v>
      </c>
      <c r="F347" s="2" t="s">
        <v>235</v>
      </c>
      <c r="G347" s="2" t="s">
        <v>241</v>
      </c>
      <c r="H347" s="2" t="s">
        <v>245</v>
      </c>
      <c r="I347" s="2">
        <v>13</v>
      </c>
      <c r="J347" s="2" t="s">
        <v>983</v>
      </c>
      <c r="K347" s="2" t="s">
        <v>308</v>
      </c>
      <c r="L347" s="2">
        <v>11</v>
      </c>
      <c r="M347" s="2" t="s">
        <v>275</v>
      </c>
      <c r="N347" s="2">
        <v>2</v>
      </c>
      <c r="O347" s="2" t="s">
        <v>311</v>
      </c>
      <c r="P347" s="2" t="s">
        <v>314</v>
      </c>
      <c r="Q347" s="2" t="s">
        <v>312</v>
      </c>
      <c r="R347" s="2" t="s">
        <v>314</v>
      </c>
      <c r="S347" s="2" t="s">
        <v>314</v>
      </c>
      <c r="T347" s="2" t="s">
        <v>311</v>
      </c>
      <c r="U347" s="2" t="s">
        <v>311</v>
      </c>
      <c r="V347" s="2" t="s">
        <v>315</v>
      </c>
      <c r="W347" s="2" t="s">
        <v>315</v>
      </c>
      <c r="X347" s="2" t="s">
        <v>320</v>
      </c>
      <c r="Y347" s="2" t="s">
        <v>316</v>
      </c>
      <c r="Z347" s="2" t="s">
        <v>311</v>
      </c>
      <c r="AA347" s="2" t="s">
        <v>315</v>
      </c>
      <c r="AB347" s="2" t="s">
        <v>323</v>
      </c>
      <c r="AC347" s="2" t="s">
        <v>1101</v>
      </c>
      <c r="AD347" s="2" t="s">
        <v>1105</v>
      </c>
    </row>
    <row r="348" spans="1:30" x14ac:dyDescent="0.3">
      <c r="A348" s="2" t="s">
        <v>30</v>
      </c>
      <c r="B348" s="2" t="s">
        <v>610</v>
      </c>
      <c r="C348" s="2" t="s">
        <v>136</v>
      </c>
      <c r="D348" s="2">
        <v>60</v>
      </c>
      <c r="E348" s="2" t="s">
        <v>232</v>
      </c>
      <c r="F348" s="2" t="s">
        <v>234</v>
      </c>
      <c r="G348" s="2" t="s">
        <v>240</v>
      </c>
      <c r="H348" s="2" t="s">
        <v>245</v>
      </c>
      <c r="I348" s="2">
        <v>18</v>
      </c>
      <c r="J348" s="2" t="s">
        <v>1018</v>
      </c>
      <c r="K348" s="2" t="s">
        <v>310</v>
      </c>
      <c r="L348" s="2">
        <v>6</v>
      </c>
      <c r="M348" s="2" t="s">
        <v>262</v>
      </c>
      <c r="N348" s="2">
        <v>0</v>
      </c>
      <c r="O348" s="2" t="s">
        <v>314</v>
      </c>
      <c r="P348" s="2" t="s">
        <v>311</v>
      </c>
      <c r="Q348" s="2" t="s">
        <v>313</v>
      </c>
      <c r="R348" s="2" t="s">
        <v>312</v>
      </c>
      <c r="S348" s="2" t="s">
        <v>313</v>
      </c>
      <c r="T348" s="2" t="s">
        <v>312</v>
      </c>
      <c r="U348" s="2" t="s">
        <v>312</v>
      </c>
      <c r="V348" s="2" t="s">
        <v>315</v>
      </c>
      <c r="W348" s="2" t="s">
        <v>315</v>
      </c>
      <c r="X348" s="2" t="s">
        <v>317</v>
      </c>
      <c r="Y348" s="2" t="s">
        <v>315</v>
      </c>
      <c r="Z348" s="2" t="s">
        <v>311</v>
      </c>
      <c r="AA348" s="2" t="s">
        <v>316</v>
      </c>
      <c r="AB348" s="2" t="s">
        <v>326</v>
      </c>
      <c r="AC348" s="2" t="s">
        <v>1104</v>
      </c>
      <c r="AD348" s="2" t="s">
        <v>1105</v>
      </c>
    </row>
    <row r="349" spans="1:30" x14ac:dyDescent="0.3">
      <c r="A349" s="2" t="s">
        <v>30</v>
      </c>
      <c r="B349" s="2" t="s">
        <v>545</v>
      </c>
      <c r="C349" s="2" t="s">
        <v>207</v>
      </c>
      <c r="D349" s="2">
        <v>25</v>
      </c>
      <c r="E349" s="2" t="s">
        <v>232</v>
      </c>
      <c r="F349" s="2" t="s">
        <v>236</v>
      </c>
      <c r="G349" s="2" t="s">
        <v>241</v>
      </c>
      <c r="H349" s="2" t="s">
        <v>245</v>
      </c>
      <c r="I349" s="2">
        <v>23</v>
      </c>
      <c r="J349" s="2" t="s">
        <v>962</v>
      </c>
      <c r="K349" s="2" t="s">
        <v>310</v>
      </c>
      <c r="L349" s="2">
        <v>11</v>
      </c>
      <c r="M349" s="2" t="s">
        <v>251</v>
      </c>
      <c r="N349" s="2">
        <v>3</v>
      </c>
      <c r="O349" s="2" t="s">
        <v>311</v>
      </c>
      <c r="P349" s="2" t="s">
        <v>312</v>
      </c>
      <c r="Q349" s="2" t="s">
        <v>312</v>
      </c>
      <c r="R349" s="2" t="s">
        <v>313</v>
      </c>
      <c r="S349" s="2" t="s">
        <v>313</v>
      </c>
      <c r="T349" s="2" t="s">
        <v>311</v>
      </c>
      <c r="U349" s="2" t="s">
        <v>311</v>
      </c>
      <c r="V349" s="2" t="s">
        <v>315</v>
      </c>
      <c r="W349" s="2" t="s">
        <v>315</v>
      </c>
      <c r="X349" s="2" t="s">
        <v>318</v>
      </c>
      <c r="Y349" s="2" t="s">
        <v>315</v>
      </c>
      <c r="Z349" s="2" t="s">
        <v>312</v>
      </c>
      <c r="AA349" s="2" t="s">
        <v>316</v>
      </c>
      <c r="AB349" s="2" t="s">
        <v>325</v>
      </c>
      <c r="AC349" s="2" t="s">
        <v>1100</v>
      </c>
      <c r="AD349" s="2" t="s">
        <v>1105</v>
      </c>
    </row>
    <row r="350" spans="1:30" x14ac:dyDescent="0.3">
      <c r="A350" s="2" t="s">
        <v>30</v>
      </c>
      <c r="B350" s="2" t="s">
        <v>570</v>
      </c>
      <c r="C350" s="2" t="s">
        <v>712</v>
      </c>
      <c r="D350" s="2">
        <v>27</v>
      </c>
      <c r="E350" s="2" t="s">
        <v>232</v>
      </c>
      <c r="F350" s="2" t="s">
        <v>233</v>
      </c>
      <c r="G350" s="2" t="s">
        <v>241</v>
      </c>
      <c r="H350" s="2" t="s">
        <v>245</v>
      </c>
      <c r="I350" s="2">
        <v>21</v>
      </c>
      <c r="J350" s="2" t="s">
        <v>957</v>
      </c>
      <c r="K350" s="2" t="s">
        <v>308</v>
      </c>
      <c r="L350" s="2">
        <v>19</v>
      </c>
      <c r="M350" s="2" t="s">
        <v>255</v>
      </c>
      <c r="N350" s="2">
        <v>2</v>
      </c>
      <c r="O350" s="2" t="s">
        <v>311</v>
      </c>
      <c r="P350" s="2" t="s">
        <v>312</v>
      </c>
      <c r="Q350" s="2" t="s">
        <v>314</v>
      </c>
      <c r="R350" s="2" t="s">
        <v>312</v>
      </c>
      <c r="S350" s="2" t="s">
        <v>313</v>
      </c>
      <c r="T350" s="2" t="s">
        <v>311</v>
      </c>
      <c r="U350" s="2" t="s">
        <v>311</v>
      </c>
      <c r="V350" s="2" t="s">
        <v>315</v>
      </c>
      <c r="W350" s="2" t="s">
        <v>315</v>
      </c>
      <c r="X350" s="2" t="s">
        <v>320</v>
      </c>
      <c r="Y350" s="2" t="s">
        <v>315</v>
      </c>
      <c r="Z350" s="2" t="s">
        <v>312</v>
      </c>
      <c r="AA350" s="2" t="s">
        <v>321</v>
      </c>
      <c r="AB350" s="2" t="s">
        <v>323</v>
      </c>
      <c r="AC350" s="2" t="s">
        <v>1096</v>
      </c>
      <c r="AD350" s="2" t="s">
        <v>1105</v>
      </c>
    </row>
    <row r="351" spans="1:30" hidden="1" x14ac:dyDescent="0.3">
      <c r="A351" s="2" t="s">
        <v>30</v>
      </c>
      <c r="B351" s="2" t="s">
        <v>647</v>
      </c>
      <c r="C351" s="2" t="s">
        <v>736</v>
      </c>
      <c r="D351" s="2">
        <v>28</v>
      </c>
      <c r="E351" s="2" t="s">
        <v>231</v>
      </c>
      <c r="F351" s="2" t="s">
        <v>235</v>
      </c>
      <c r="G351" s="2" t="s">
        <v>238</v>
      </c>
      <c r="H351" s="2" t="s">
        <v>246</v>
      </c>
      <c r="I351" s="2">
        <v>29</v>
      </c>
      <c r="J351" s="2" t="s">
        <v>1091</v>
      </c>
      <c r="K351" s="2" t="s">
        <v>308</v>
      </c>
      <c r="L351" s="2">
        <v>3</v>
      </c>
      <c r="M351" s="2" t="s">
        <v>251</v>
      </c>
      <c r="N351" s="2">
        <v>3</v>
      </c>
      <c r="O351" s="2" t="s">
        <v>314</v>
      </c>
      <c r="P351" s="2" t="s">
        <v>312</v>
      </c>
      <c r="Q351" s="2" t="s">
        <v>311</v>
      </c>
      <c r="R351" s="2" t="s">
        <v>314</v>
      </c>
      <c r="S351" s="2" t="s">
        <v>314</v>
      </c>
      <c r="T351" s="2" t="s">
        <v>314</v>
      </c>
      <c r="U351" s="2" t="s">
        <v>314</v>
      </c>
      <c r="V351" s="2" t="s">
        <v>315</v>
      </c>
      <c r="W351" s="2" t="s">
        <v>315</v>
      </c>
      <c r="X351" s="2" t="s">
        <v>317</v>
      </c>
      <c r="Y351" s="2" t="s">
        <v>316</v>
      </c>
      <c r="Z351" s="2" t="s">
        <v>312</v>
      </c>
      <c r="AA351" s="2" t="s">
        <v>315</v>
      </c>
      <c r="AB351" s="2" t="s">
        <v>325</v>
      </c>
      <c r="AC351" s="2" t="s">
        <v>1103</v>
      </c>
      <c r="AD351" s="2" t="s">
        <v>1105</v>
      </c>
    </row>
    <row r="352" spans="1:30" x14ac:dyDescent="0.3">
      <c r="A352" s="1">
        <v>45764.682222222233</v>
      </c>
      <c r="B352" s="2" t="s">
        <v>95</v>
      </c>
      <c r="C352" s="2" t="s">
        <v>896</v>
      </c>
      <c r="D352" s="2">
        <v>29</v>
      </c>
      <c r="E352" s="2" t="s">
        <v>232</v>
      </c>
      <c r="F352" s="2" t="s">
        <v>235</v>
      </c>
      <c r="G352" s="2" t="s">
        <v>243</v>
      </c>
      <c r="H352" s="2" t="s">
        <v>246</v>
      </c>
      <c r="I352" s="2">
        <v>31</v>
      </c>
      <c r="J352" s="2" t="s">
        <v>290</v>
      </c>
      <c r="K352" s="2" t="s">
        <v>308</v>
      </c>
      <c r="L352" s="2">
        <v>4</v>
      </c>
      <c r="M352" s="2" t="s">
        <v>243</v>
      </c>
      <c r="N352" s="2">
        <v>3</v>
      </c>
      <c r="O352" s="2" t="s">
        <v>314</v>
      </c>
      <c r="P352" s="2" t="s">
        <v>314</v>
      </c>
      <c r="Q352" s="2" t="s">
        <v>313</v>
      </c>
      <c r="R352" s="2" t="s">
        <v>312</v>
      </c>
      <c r="S352" s="2" t="s">
        <v>312</v>
      </c>
      <c r="T352" s="2" t="s">
        <v>312</v>
      </c>
      <c r="U352" s="2" t="s">
        <v>314</v>
      </c>
      <c r="V352" s="2" t="s">
        <v>315</v>
      </c>
      <c r="W352" s="2" t="s">
        <v>315</v>
      </c>
      <c r="X352" s="2" t="s">
        <v>318</v>
      </c>
      <c r="Y352" s="2" t="s">
        <v>316</v>
      </c>
      <c r="Z352" s="2" t="s">
        <v>312</v>
      </c>
      <c r="AA352" s="2" t="s">
        <v>321</v>
      </c>
      <c r="AB352" s="2" t="s">
        <v>326</v>
      </c>
      <c r="AC352" s="2" t="s">
        <v>391</v>
      </c>
      <c r="AD352" s="2" t="s">
        <v>491</v>
      </c>
    </row>
    <row r="353" spans="1:30" hidden="1" x14ac:dyDescent="0.3">
      <c r="A353" s="2" t="s">
        <v>30</v>
      </c>
      <c r="B353" s="2" t="s">
        <v>641</v>
      </c>
      <c r="C353" s="2" t="s">
        <v>911</v>
      </c>
      <c r="D353" s="2">
        <v>29</v>
      </c>
      <c r="E353" s="2" t="s">
        <v>231</v>
      </c>
      <c r="F353" s="2" t="s">
        <v>236</v>
      </c>
      <c r="G353" s="2" t="s">
        <v>242</v>
      </c>
      <c r="H353" s="2" t="s">
        <v>246</v>
      </c>
      <c r="I353" s="2">
        <v>16</v>
      </c>
      <c r="J353" s="2" t="s">
        <v>279</v>
      </c>
      <c r="K353" s="2" t="s">
        <v>308</v>
      </c>
      <c r="L353" s="2">
        <v>5</v>
      </c>
      <c r="M353" s="2" t="s">
        <v>249</v>
      </c>
      <c r="N353" s="2">
        <v>3</v>
      </c>
      <c r="O353" s="2" t="s">
        <v>313</v>
      </c>
      <c r="P353" s="2" t="s">
        <v>312</v>
      </c>
      <c r="Q353" s="2" t="s">
        <v>314</v>
      </c>
      <c r="R353" s="2" t="s">
        <v>314</v>
      </c>
      <c r="S353" s="2" t="s">
        <v>311</v>
      </c>
      <c r="T353" s="2" t="s">
        <v>313</v>
      </c>
      <c r="U353" s="2" t="s">
        <v>313</v>
      </c>
      <c r="V353" s="2" t="s">
        <v>315</v>
      </c>
      <c r="W353" s="2" t="s">
        <v>315</v>
      </c>
      <c r="X353" s="2" t="s">
        <v>318</v>
      </c>
      <c r="Y353" s="2" t="s">
        <v>316</v>
      </c>
      <c r="Z353" s="2" t="s">
        <v>312</v>
      </c>
      <c r="AA353" s="2" t="s">
        <v>316</v>
      </c>
      <c r="AB353" s="2" t="s">
        <v>325</v>
      </c>
      <c r="AC353" s="2" t="s">
        <v>1098</v>
      </c>
      <c r="AD353" s="2" t="s">
        <v>1105</v>
      </c>
    </row>
    <row r="354" spans="1:30" x14ac:dyDescent="0.3">
      <c r="A354" s="2" t="s">
        <v>30</v>
      </c>
      <c r="B354" s="2" t="s">
        <v>533</v>
      </c>
      <c r="C354" s="2" t="s">
        <v>900</v>
      </c>
      <c r="D354" s="2">
        <v>32</v>
      </c>
      <c r="E354" s="2" t="s">
        <v>232</v>
      </c>
      <c r="F354" s="2" t="s">
        <v>236</v>
      </c>
      <c r="G354" s="2" t="s">
        <v>241</v>
      </c>
      <c r="H354" s="2" t="s">
        <v>245</v>
      </c>
      <c r="I354" s="2">
        <v>8</v>
      </c>
      <c r="J354" s="2" t="s">
        <v>1086</v>
      </c>
      <c r="K354" s="2" t="s">
        <v>310</v>
      </c>
      <c r="L354" s="2">
        <v>16</v>
      </c>
      <c r="M354" s="2" t="s">
        <v>241</v>
      </c>
      <c r="N354" s="2">
        <v>0</v>
      </c>
      <c r="O354" s="2" t="s">
        <v>313</v>
      </c>
      <c r="P354" s="2" t="s">
        <v>314</v>
      </c>
      <c r="Q354" s="2" t="s">
        <v>312</v>
      </c>
      <c r="R354" s="2" t="s">
        <v>314</v>
      </c>
      <c r="S354" s="2" t="s">
        <v>311</v>
      </c>
      <c r="T354" s="2" t="s">
        <v>313</v>
      </c>
      <c r="U354" s="2" t="s">
        <v>313</v>
      </c>
      <c r="V354" s="2" t="s">
        <v>315</v>
      </c>
      <c r="W354" s="2" t="s">
        <v>315</v>
      </c>
      <c r="X354" s="2" t="s">
        <v>319</v>
      </c>
      <c r="Y354" s="2" t="s">
        <v>316</v>
      </c>
      <c r="Z354" s="2" t="s">
        <v>312</v>
      </c>
      <c r="AA354" s="2" t="s">
        <v>316</v>
      </c>
      <c r="AB354" s="2" t="s">
        <v>325</v>
      </c>
      <c r="AC354" s="2" t="s">
        <v>1098</v>
      </c>
      <c r="AD354" s="2" t="s">
        <v>1105</v>
      </c>
    </row>
    <row r="355" spans="1:30" hidden="1" x14ac:dyDescent="0.3">
      <c r="A355" s="2" t="s">
        <v>30</v>
      </c>
      <c r="B355" s="2" t="s">
        <v>626</v>
      </c>
      <c r="C355" s="2" t="s">
        <v>837</v>
      </c>
      <c r="D355" s="2">
        <v>33</v>
      </c>
      <c r="E355" s="2" t="s">
        <v>231</v>
      </c>
      <c r="F355" s="2" t="s">
        <v>234</v>
      </c>
      <c r="G355" s="2" t="s">
        <v>239</v>
      </c>
      <c r="H355" s="2" t="s">
        <v>246</v>
      </c>
      <c r="I355" s="2">
        <v>16</v>
      </c>
      <c r="J355" s="2" t="s">
        <v>1035</v>
      </c>
      <c r="K355" s="2" t="s">
        <v>310</v>
      </c>
      <c r="L355" s="2">
        <v>20</v>
      </c>
      <c r="M355" s="2" t="s">
        <v>262</v>
      </c>
      <c r="N355" s="2">
        <v>0</v>
      </c>
      <c r="O355" s="2" t="s">
        <v>311</v>
      </c>
      <c r="P355" s="2" t="s">
        <v>313</v>
      </c>
      <c r="Q355" s="2" t="s">
        <v>314</v>
      </c>
      <c r="R355" s="2" t="s">
        <v>312</v>
      </c>
      <c r="S355" s="2" t="s">
        <v>314</v>
      </c>
      <c r="T355" s="2" t="s">
        <v>312</v>
      </c>
      <c r="U355" s="2" t="s">
        <v>312</v>
      </c>
      <c r="V355" s="2" t="s">
        <v>315</v>
      </c>
      <c r="W355" s="2" t="s">
        <v>315</v>
      </c>
      <c r="X355" s="2" t="s">
        <v>318</v>
      </c>
      <c r="Y355" s="2" t="s">
        <v>315</v>
      </c>
      <c r="Z355" s="2" t="s">
        <v>312</v>
      </c>
      <c r="AA355" s="2" t="s">
        <v>316</v>
      </c>
      <c r="AB355" s="2" t="s">
        <v>325</v>
      </c>
      <c r="AC355" s="2" t="s">
        <v>1099</v>
      </c>
      <c r="AD355" s="2" t="s">
        <v>1105</v>
      </c>
    </row>
    <row r="356" spans="1:30" hidden="1" x14ac:dyDescent="0.3">
      <c r="A356" s="2" t="s">
        <v>30</v>
      </c>
      <c r="B356" s="2" t="s">
        <v>591</v>
      </c>
      <c r="C356" s="2" t="s">
        <v>201</v>
      </c>
      <c r="D356" s="2">
        <v>37</v>
      </c>
      <c r="E356" s="2" t="s">
        <v>231</v>
      </c>
      <c r="F356" s="2" t="s">
        <v>237</v>
      </c>
      <c r="G356" s="2" t="s">
        <v>242</v>
      </c>
      <c r="H356" s="2" t="s">
        <v>244</v>
      </c>
      <c r="I356" s="2">
        <v>27</v>
      </c>
      <c r="J356" s="2" t="s">
        <v>1023</v>
      </c>
      <c r="K356" s="2" t="s">
        <v>309</v>
      </c>
      <c r="L356" s="2">
        <v>18</v>
      </c>
      <c r="M356" s="2" t="s">
        <v>251</v>
      </c>
      <c r="N356" s="2">
        <v>3</v>
      </c>
      <c r="O356" s="2" t="s">
        <v>312</v>
      </c>
      <c r="P356" s="2" t="s">
        <v>312</v>
      </c>
      <c r="Q356" s="2" t="s">
        <v>313</v>
      </c>
      <c r="R356" s="2" t="s">
        <v>314</v>
      </c>
      <c r="S356" s="2" t="s">
        <v>311</v>
      </c>
      <c r="T356" s="2" t="s">
        <v>314</v>
      </c>
      <c r="U356" s="2" t="s">
        <v>314</v>
      </c>
      <c r="V356" s="2" t="s">
        <v>315</v>
      </c>
      <c r="W356" s="2" t="s">
        <v>315</v>
      </c>
      <c r="X356" s="2" t="s">
        <v>319</v>
      </c>
      <c r="Y356" s="2" t="s">
        <v>316</v>
      </c>
      <c r="Z356" s="2" t="s">
        <v>312</v>
      </c>
      <c r="AA356" s="2" t="s">
        <v>1095</v>
      </c>
      <c r="AB356" s="2" t="s">
        <v>325</v>
      </c>
      <c r="AC356" s="2" t="s">
        <v>1101</v>
      </c>
      <c r="AD356" s="2" t="s">
        <v>1105</v>
      </c>
    </row>
    <row r="357" spans="1:30" hidden="1" x14ac:dyDescent="0.3">
      <c r="A357" s="2" t="s">
        <v>30</v>
      </c>
      <c r="B357" s="2" t="s">
        <v>625</v>
      </c>
      <c r="C357" s="2" t="s">
        <v>742</v>
      </c>
      <c r="D357" s="2">
        <v>37</v>
      </c>
      <c r="E357" s="2" t="s">
        <v>231</v>
      </c>
      <c r="F357" s="2" t="s">
        <v>234</v>
      </c>
      <c r="G357" s="2" t="s">
        <v>243</v>
      </c>
      <c r="H357" s="2" t="s">
        <v>246</v>
      </c>
      <c r="I357" s="2">
        <v>24</v>
      </c>
      <c r="J357" s="2" t="s">
        <v>1033</v>
      </c>
      <c r="K357" s="2" t="s">
        <v>309</v>
      </c>
      <c r="L357" s="2">
        <v>17</v>
      </c>
      <c r="M357" s="2" t="s">
        <v>275</v>
      </c>
      <c r="N357" s="2">
        <v>2</v>
      </c>
      <c r="O357" s="2" t="s">
        <v>313</v>
      </c>
      <c r="P357" s="2" t="s">
        <v>313</v>
      </c>
      <c r="Q357" s="2" t="s">
        <v>311</v>
      </c>
      <c r="R357" s="2" t="s">
        <v>313</v>
      </c>
      <c r="S357" s="2" t="s">
        <v>314</v>
      </c>
      <c r="T357" s="2" t="s">
        <v>313</v>
      </c>
      <c r="U357" s="2" t="s">
        <v>313</v>
      </c>
      <c r="V357" s="2" t="s">
        <v>315</v>
      </c>
      <c r="W357" s="2" t="s">
        <v>315</v>
      </c>
      <c r="X357" s="2" t="s">
        <v>320</v>
      </c>
      <c r="Y357" s="2" t="s">
        <v>315</v>
      </c>
      <c r="Z357" s="2" t="s">
        <v>312</v>
      </c>
      <c r="AA357" s="2" t="s">
        <v>1095</v>
      </c>
      <c r="AB357" s="2" t="s">
        <v>326</v>
      </c>
      <c r="AC357" s="2" t="s">
        <v>1098</v>
      </c>
      <c r="AD357" s="2" t="s">
        <v>1105</v>
      </c>
    </row>
    <row r="358" spans="1:30" hidden="1" x14ac:dyDescent="0.3">
      <c r="A358" s="1">
        <v>45661.720532407409</v>
      </c>
      <c r="B358" s="2" t="s">
        <v>98</v>
      </c>
      <c r="C358" s="2" t="s">
        <v>200</v>
      </c>
      <c r="D358" s="2">
        <v>40</v>
      </c>
      <c r="E358" s="2" t="s">
        <v>231</v>
      </c>
      <c r="F358" s="2" t="s">
        <v>236</v>
      </c>
      <c r="G358" s="2" t="s">
        <v>242</v>
      </c>
      <c r="H358" s="2" t="s">
        <v>245</v>
      </c>
      <c r="I358" s="2">
        <v>25</v>
      </c>
      <c r="J358" s="2" t="s">
        <v>292</v>
      </c>
      <c r="K358" s="2" t="s">
        <v>309</v>
      </c>
      <c r="L358" s="2">
        <v>18</v>
      </c>
      <c r="M358" s="2" t="s">
        <v>249</v>
      </c>
      <c r="N358" s="2">
        <v>1</v>
      </c>
      <c r="O358" s="2" t="s">
        <v>312</v>
      </c>
      <c r="P358" s="2" t="s">
        <v>312</v>
      </c>
      <c r="Q358" s="2" t="s">
        <v>314</v>
      </c>
      <c r="R358" s="2" t="s">
        <v>314</v>
      </c>
      <c r="S358" s="2" t="s">
        <v>314</v>
      </c>
      <c r="T358" s="2" t="s">
        <v>313</v>
      </c>
      <c r="U358" s="2" t="s">
        <v>314</v>
      </c>
      <c r="V358" s="2" t="s">
        <v>315</v>
      </c>
      <c r="W358" s="2" t="s">
        <v>315</v>
      </c>
      <c r="X358" s="2" t="s">
        <v>320</v>
      </c>
      <c r="Y358" s="2" t="s">
        <v>316</v>
      </c>
      <c r="Z358" s="2" t="s">
        <v>312</v>
      </c>
      <c r="AA358" s="2" t="s">
        <v>321</v>
      </c>
      <c r="AB358" s="2" t="s">
        <v>326</v>
      </c>
      <c r="AC358" s="2" t="s">
        <v>394</v>
      </c>
      <c r="AD358" s="2" t="s">
        <v>494</v>
      </c>
    </row>
    <row r="359" spans="1:30" x14ac:dyDescent="0.3">
      <c r="A359" s="2" t="s">
        <v>30</v>
      </c>
      <c r="B359" s="2" t="s">
        <v>556</v>
      </c>
      <c r="C359" s="2" t="s">
        <v>842</v>
      </c>
      <c r="D359" s="2">
        <v>40</v>
      </c>
      <c r="E359" s="2" t="s">
        <v>232</v>
      </c>
      <c r="F359" s="2" t="s">
        <v>237</v>
      </c>
      <c r="G359" s="2" t="s">
        <v>239</v>
      </c>
      <c r="H359" s="2" t="s">
        <v>246</v>
      </c>
      <c r="I359" s="2">
        <v>18</v>
      </c>
      <c r="J359" s="2" t="s">
        <v>1092</v>
      </c>
      <c r="K359" s="2" t="s">
        <v>310</v>
      </c>
      <c r="L359" s="2">
        <v>11</v>
      </c>
      <c r="M359" s="2" t="s">
        <v>251</v>
      </c>
      <c r="N359" s="2">
        <v>3</v>
      </c>
      <c r="O359" s="2" t="s">
        <v>314</v>
      </c>
      <c r="P359" s="2" t="s">
        <v>311</v>
      </c>
      <c r="Q359" s="2" t="s">
        <v>313</v>
      </c>
      <c r="R359" s="2" t="s">
        <v>313</v>
      </c>
      <c r="S359" s="2" t="s">
        <v>314</v>
      </c>
      <c r="T359" s="2" t="s">
        <v>312</v>
      </c>
      <c r="U359" s="2" t="s">
        <v>312</v>
      </c>
      <c r="V359" s="2" t="s">
        <v>315</v>
      </c>
      <c r="W359" s="2" t="s">
        <v>315</v>
      </c>
      <c r="X359" s="2" t="s">
        <v>319</v>
      </c>
      <c r="Y359" s="2" t="s">
        <v>315</v>
      </c>
      <c r="Z359" s="2" t="s">
        <v>312</v>
      </c>
      <c r="AA359" s="2" t="s">
        <v>1095</v>
      </c>
      <c r="AB359" s="2" t="s">
        <v>323</v>
      </c>
      <c r="AC359" s="2" t="s">
        <v>1104</v>
      </c>
      <c r="AD359" s="2" t="s">
        <v>1105</v>
      </c>
    </row>
    <row r="360" spans="1:30" x14ac:dyDescent="0.3">
      <c r="A360" s="1">
        <v>45709.253425925926</v>
      </c>
      <c r="B360" s="2" t="s">
        <v>78</v>
      </c>
      <c r="C360" s="2" t="s">
        <v>873</v>
      </c>
      <c r="D360" s="2">
        <v>42</v>
      </c>
      <c r="E360" s="2" t="s">
        <v>232</v>
      </c>
      <c r="F360" s="2" t="s">
        <v>235</v>
      </c>
      <c r="G360" s="2" t="s">
        <v>240</v>
      </c>
      <c r="H360" s="2" t="s">
        <v>246</v>
      </c>
      <c r="I360" s="2">
        <v>29</v>
      </c>
      <c r="J360" s="2" t="s">
        <v>279</v>
      </c>
      <c r="K360" s="2" t="s">
        <v>310</v>
      </c>
      <c r="L360" s="2">
        <v>3</v>
      </c>
      <c r="M360" s="2" t="s">
        <v>243</v>
      </c>
      <c r="N360" s="2">
        <v>0</v>
      </c>
      <c r="O360" s="2" t="s">
        <v>311</v>
      </c>
      <c r="P360" s="2" t="s">
        <v>313</v>
      </c>
      <c r="Q360" s="2" t="s">
        <v>314</v>
      </c>
      <c r="R360" s="2" t="s">
        <v>313</v>
      </c>
      <c r="S360" s="2" t="s">
        <v>311</v>
      </c>
      <c r="T360" s="2" t="s">
        <v>312</v>
      </c>
      <c r="U360" s="2" t="s">
        <v>314</v>
      </c>
      <c r="V360" s="2" t="s">
        <v>315</v>
      </c>
      <c r="W360" s="2" t="s">
        <v>315</v>
      </c>
      <c r="X360" s="2" t="s">
        <v>318</v>
      </c>
      <c r="Y360" s="2" t="s">
        <v>316</v>
      </c>
      <c r="Z360" s="2" t="s">
        <v>312</v>
      </c>
      <c r="AA360" s="2" t="s">
        <v>321</v>
      </c>
      <c r="AB360" s="2" t="s">
        <v>326</v>
      </c>
      <c r="AC360" s="2" t="s">
        <v>374</v>
      </c>
      <c r="AD360" s="2" t="s">
        <v>474</v>
      </c>
    </row>
    <row r="361" spans="1:30" x14ac:dyDescent="0.3">
      <c r="A361" s="2" t="s">
        <v>30</v>
      </c>
      <c r="B361" s="2" t="s">
        <v>545</v>
      </c>
      <c r="C361" s="2" t="s">
        <v>942</v>
      </c>
      <c r="D361" s="2">
        <v>42</v>
      </c>
      <c r="E361" s="2" t="s">
        <v>232</v>
      </c>
      <c r="F361" s="2" t="s">
        <v>234</v>
      </c>
      <c r="G361" s="2" t="s">
        <v>241</v>
      </c>
      <c r="H361" s="2" t="s">
        <v>246</v>
      </c>
      <c r="I361" s="2">
        <v>5</v>
      </c>
      <c r="J361" s="2" t="s">
        <v>275</v>
      </c>
      <c r="K361" s="2" t="s">
        <v>310</v>
      </c>
      <c r="L361" s="2">
        <v>14</v>
      </c>
      <c r="M361" s="2" t="s">
        <v>255</v>
      </c>
      <c r="N361" s="2">
        <v>3</v>
      </c>
      <c r="O361" s="2" t="s">
        <v>311</v>
      </c>
      <c r="P361" s="2" t="s">
        <v>311</v>
      </c>
      <c r="Q361" s="2" t="s">
        <v>311</v>
      </c>
      <c r="R361" s="2" t="s">
        <v>313</v>
      </c>
      <c r="S361" s="2" t="s">
        <v>313</v>
      </c>
      <c r="T361" s="2" t="s">
        <v>313</v>
      </c>
      <c r="U361" s="2" t="s">
        <v>313</v>
      </c>
      <c r="V361" s="2" t="s">
        <v>315</v>
      </c>
      <c r="W361" s="2" t="s">
        <v>315</v>
      </c>
      <c r="X361" s="2" t="s">
        <v>318</v>
      </c>
      <c r="Y361" s="2" t="s">
        <v>315</v>
      </c>
      <c r="Z361" s="2" t="s">
        <v>312</v>
      </c>
      <c r="AA361" s="2" t="s">
        <v>321</v>
      </c>
      <c r="AB361" s="2" t="s">
        <v>323</v>
      </c>
      <c r="AC361" s="2" t="s">
        <v>1104</v>
      </c>
      <c r="AD361" s="2" t="s">
        <v>1105</v>
      </c>
    </row>
    <row r="362" spans="1:30" x14ac:dyDescent="0.3">
      <c r="A362" s="2" t="s">
        <v>30</v>
      </c>
      <c r="B362" s="2" t="s">
        <v>622</v>
      </c>
      <c r="C362" s="2" t="s">
        <v>226</v>
      </c>
      <c r="D362" s="2">
        <v>42</v>
      </c>
      <c r="E362" s="2" t="s">
        <v>232</v>
      </c>
      <c r="F362" s="2" t="s">
        <v>234</v>
      </c>
      <c r="G362" s="2" t="s">
        <v>239</v>
      </c>
      <c r="H362" s="2" t="s">
        <v>244</v>
      </c>
      <c r="I362" s="2">
        <v>6</v>
      </c>
      <c r="J362" s="2" t="s">
        <v>978</v>
      </c>
      <c r="K362" s="2" t="s">
        <v>308</v>
      </c>
      <c r="L362" s="2">
        <v>14</v>
      </c>
      <c r="M362" s="2" t="s">
        <v>251</v>
      </c>
      <c r="N362" s="2">
        <v>1</v>
      </c>
      <c r="O362" s="2" t="s">
        <v>311</v>
      </c>
      <c r="P362" s="2" t="s">
        <v>313</v>
      </c>
      <c r="Q362" s="2" t="s">
        <v>312</v>
      </c>
      <c r="R362" s="2" t="s">
        <v>312</v>
      </c>
      <c r="S362" s="2" t="s">
        <v>312</v>
      </c>
      <c r="T362" s="2" t="s">
        <v>312</v>
      </c>
      <c r="U362" s="2" t="s">
        <v>312</v>
      </c>
      <c r="V362" s="2" t="s">
        <v>315</v>
      </c>
      <c r="W362" s="2" t="s">
        <v>315</v>
      </c>
      <c r="X362" s="2" t="s">
        <v>317</v>
      </c>
      <c r="Y362" s="2" t="s">
        <v>316</v>
      </c>
      <c r="Z362" s="2" t="s">
        <v>312</v>
      </c>
      <c r="AA362" s="2" t="s">
        <v>316</v>
      </c>
      <c r="AB362" s="2" t="s">
        <v>325</v>
      </c>
      <c r="AC362" s="2" t="s">
        <v>1099</v>
      </c>
      <c r="AD362" s="2" t="s">
        <v>1105</v>
      </c>
    </row>
    <row r="363" spans="1:30" hidden="1" x14ac:dyDescent="0.3">
      <c r="A363" s="2" t="s">
        <v>30</v>
      </c>
      <c r="B363" s="2" t="s">
        <v>614</v>
      </c>
      <c r="C363" s="2" t="s">
        <v>713</v>
      </c>
      <c r="D363" s="2">
        <v>43</v>
      </c>
      <c r="E363" s="2" t="s">
        <v>231</v>
      </c>
      <c r="F363" s="2" t="s">
        <v>237</v>
      </c>
      <c r="G363" s="2" t="s">
        <v>238</v>
      </c>
      <c r="H363" s="2" t="s">
        <v>245</v>
      </c>
      <c r="I363" s="2">
        <v>27</v>
      </c>
      <c r="J363" s="2" t="s">
        <v>1022</v>
      </c>
      <c r="K363" s="2" t="s">
        <v>308</v>
      </c>
      <c r="L363" s="2">
        <v>3</v>
      </c>
      <c r="M363" s="2" t="s">
        <v>262</v>
      </c>
      <c r="N363" s="2">
        <v>0</v>
      </c>
      <c r="O363" s="2" t="s">
        <v>313</v>
      </c>
      <c r="P363" s="2" t="s">
        <v>314</v>
      </c>
      <c r="Q363" s="2" t="s">
        <v>314</v>
      </c>
      <c r="R363" s="2" t="s">
        <v>312</v>
      </c>
      <c r="S363" s="2" t="s">
        <v>314</v>
      </c>
      <c r="T363" s="2" t="s">
        <v>311</v>
      </c>
      <c r="U363" s="2" t="s">
        <v>311</v>
      </c>
      <c r="V363" s="2" t="s">
        <v>315</v>
      </c>
      <c r="W363" s="2" t="s">
        <v>315</v>
      </c>
      <c r="X363" s="2" t="s">
        <v>319</v>
      </c>
      <c r="Y363" s="2" t="s">
        <v>315</v>
      </c>
      <c r="Z363" s="2" t="s">
        <v>312</v>
      </c>
      <c r="AA363" s="2" t="s">
        <v>316</v>
      </c>
      <c r="AB363" s="2" t="s">
        <v>324</v>
      </c>
      <c r="AC363" s="2" t="s">
        <v>1096</v>
      </c>
      <c r="AD363" s="2" t="s">
        <v>1105</v>
      </c>
    </row>
    <row r="364" spans="1:30" hidden="1" x14ac:dyDescent="0.3">
      <c r="A364" s="2" t="s">
        <v>30</v>
      </c>
      <c r="B364" s="2" t="s">
        <v>621</v>
      </c>
      <c r="C364" s="2" t="s">
        <v>878</v>
      </c>
      <c r="D364" s="2">
        <v>43</v>
      </c>
      <c r="E364" s="2" t="s">
        <v>231</v>
      </c>
      <c r="F364" s="2" t="s">
        <v>233</v>
      </c>
      <c r="G364" s="2" t="s">
        <v>240</v>
      </c>
      <c r="H364" s="2" t="s">
        <v>246</v>
      </c>
      <c r="I364" s="2">
        <v>25</v>
      </c>
      <c r="J364" s="2" t="s">
        <v>255</v>
      </c>
      <c r="K364" s="2" t="s">
        <v>310</v>
      </c>
      <c r="L364" s="2">
        <v>19</v>
      </c>
      <c r="M364" s="2" t="s">
        <v>255</v>
      </c>
      <c r="N364" s="2">
        <v>1</v>
      </c>
      <c r="O364" s="2" t="s">
        <v>313</v>
      </c>
      <c r="P364" s="2" t="s">
        <v>314</v>
      </c>
      <c r="Q364" s="2" t="s">
        <v>312</v>
      </c>
      <c r="R364" s="2" t="s">
        <v>311</v>
      </c>
      <c r="S364" s="2" t="s">
        <v>312</v>
      </c>
      <c r="T364" s="2" t="s">
        <v>314</v>
      </c>
      <c r="U364" s="2" t="s">
        <v>314</v>
      </c>
      <c r="V364" s="2" t="s">
        <v>315</v>
      </c>
      <c r="W364" s="2" t="s">
        <v>315</v>
      </c>
      <c r="X364" s="2" t="s">
        <v>320</v>
      </c>
      <c r="Y364" s="2" t="s">
        <v>315</v>
      </c>
      <c r="Z364" s="2" t="s">
        <v>312</v>
      </c>
      <c r="AA364" s="2" t="s">
        <v>1095</v>
      </c>
      <c r="AB364" s="2" t="s">
        <v>325</v>
      </c>
      <c r="AC364" s="2" t="s">
        <v>1099</v>
      </c>
      <c r="AD364" s="2" t="s">
        <v>1105</v>
      </c>
    </row>
    <row r="365" spans="1:30" x14ac:dyDescent="0.3">
      <c r="A365" s="2" t="s">
        <v>30</v>
      </c>
      <c r="B365" s="2" t="s">
        <v>527</v>
      </c>
      <c r="C365" s="2" t="s">
        <v>140</v>
      </c>
      <c r="D365" s="2">
        <v>44</v>
      </c>
      <c r="E365" s="2" t="s">
        <v>232</v>
      </c>
      <c r="F365" s="2" t="s">
        <v>237</v>
      </c>
      <c r="G365" s="2" t="s">
        <v>238</v>
      </c>
      <c r="H365" s="2" t="s">
        <v>244</v>
      </c>
      <c r="I365" s="2">
        <v>18</v>
      </c>
      <c r="J365" s="2" t="s">
        <v>243</v>
      </c>
      <c r="K365" s="2" t="s">
        <v>308</v>
      </c>
      <c r="L365" s="2">
        <v>2</v>
      </c>
      <c r="M365" s="2" t="s">
        <v>241</v>
      </c>
      <c r="N365" s="2">
        <v>1</v>
      </c>
      <c r="O365" s="2" t="s">
        <v>311</v>
      </c>
      <c r="P365" s="2" t="s">
        <v>311</v>
      </c>
      <c r="Q365" s="2" t="s">
        <v>312</v>
      </c>
      <c r="R365" s="2" t="s">
        <v>314</v>
      </c>
      <c r="S365" s="2" t="s">
        <v>313</v>
      </c>
      <c r="T365" s="2" t="s">
        <v>313</v>
      </c>
      <c r="U365" s="2" t="s">
        <v>313</v>
      </c>
      <c r="V365" s="2" t="s">
        <v>315</v>
      </c>
      <c r="W365" s="2" t="s">
        <v>315</v>
      </c>
      <c r="X365" s="2" t="s">
        <v>319</v>
      </c>
      <c r="Y365" s="2" t="s">
        <v>315</v>
      </c>
      <c r="Z365" s="2" t="s">
        <v>312</v>
      </c>
      <c r="AA365" s="2" t="s">
        <v>1095</v>
      </c>
      <c r="AB365" s="2" t="s">
        <v>326</v>
      </c>
      <c r="AC365" s="2" t="s">
        <v>1096</v>
      </c>
      <c r="AD365" s="2" t="s">
        <v>1105</v>
      </c>
    </row>
    <row r="366" spans="1:30" hidden="1" x14ac:dyDescent="0.3">
      <c r="A366" s="2" t="s">
        <v>30</v>
      </c>
      <c r="B366" s="2" t="s">
        <v>616</v>
      </c>
      <c r="C366" s="2" t="s">
        <v>856</v>
      </c>
      <c r="D366" s="2">
        <v>44</v>
      </c>
      <c r="E366" s="2" t="s">
        <v>231</v>
      </c>
      <c r="F366" s="2" t="s">
        <v>233</v>
      </c>
      <c r="G366" s="2" t="s">
        <v>239</v>
      </c>
      <c r="H366" s="2" t="s">
        <v>244</v>
      </c>
      <c r="I366" s="2">
        <v>28</v>
      </c>
      <c r="J366" s="2" t="s">
        <v>1025</v>
      </c>
      <c r="K366" s="2" t="s">
        <v>309</v>
      </c>
      <c r="L366" s="2">
        <v>10</v>
      </c>
      <c r="M366" s="2" t="s">
        <v>249</v>
      </c>
      <c r="N366" s="2">
        <v>2</v>
      </c>
      <c r="O366" s="2" t="s">
        <v>314</v>
      </c>
      <c r="P366" s="2" t="s">
        <v>313</v>
      </c>
      <c r="Q366" s="2" t="s">
        <v>314</v>
      </c>
      <c r="R366" s="2" t="s">
        <v>314</v>
      </c>
      <c r="S366" s="2" t="s">
        <v>313</v>
      </c>
      <c r="T366" s="2" t="s">
        <v>313</v>
      </c>
      <c r="U366" s="2" t="s">
        <v>313</v>
      </c>
      <c r="V366" s="2" t="s">
        <v>315</v>
      </c>
      <c r="W366" s="2" t="s">
        <v>315</v>
      </c>
      <c r="X366" s="2" t="s">
        <v>320</v>
      </c>
      <c r="Y366" s="2" t="s">
        <v>315</v>
      </c>
      <c r="Z366" s="2" t="s">
        <v>312</v>
      </c>
      <c r="AA366" s="2" t="s">
        <v>321</v>
      </c>
      <c r="AB366" s="2" t="s">
        <v>325</v>
      </c>
      <c r="AC366" s="2" t="s">
        <v>1103</v>
      </c>
      <c r="AD366" s="2" t="s">
        <v>1105</v>
      </c>
    </row>
    <row r="367" spans="1:30" hidden="1" x14ac:dyDescent="0.3">
      <c r="A367" s="2" t="s">
        <v>30</v>
      </c>
      <c r="B367" s="2" t="s">
        <v>588</v>
      </c>
      <c r="C367" s="2" t="s">
        <v>724</v>
      </c>
      <c r="D367" s="2">
        <v>45</v>
      </c>
      <c r="E367" s="2" t="s">
        <v>231</v>
      </c>
      <c r="F367" s="2" t="s">
        <v>235</v>
      </c>
      <c r="G367" s="2" t="s">
        <v>243</v>
      </c>
      <c r="H367" s="2" t="s">
        <v>244</v>
      </c>
      <c r="I367" s="2">
        <v>19</v>
      </c>
      <c r="J367" s="2" t="s">
        <v>1046</v>
      </c>
      <c r="K367" s="2" t="s">
        <v>308</v>
      </c>
      <c r="L367" s="2">
        <v>17</v>
      </c>
      <c r="M367" s="2" t="s">
        <v>262</v>
      </c>
      <c r="N367" s="2">
        <v>0</v>
      </c>
      <c r="O367" s="2" t="s">
        <v>313</v>
      </c>
      <c r="P367" s="2" t="s">
        <v>314</v>
      </c>
      <c r="Q367" s="2" t="s">
        <v>313</v>
      </c>
      <c r="R367" s="2" t="s">
        <v>312</v>
      </c>
      <c r="S367" s="2" t="s">
        <v>312</v>
      </c>
      <c r="T367" s="2" t="s">
        <v>312</v>
      </c>
      <c r="U367" s="2" t="s">
        <v>312</v>
      </c>
      <c r="V367" s="2" t="s">
        <v>315</v>
      </c>
      <c r="W367" s="2" t="s">
        <v>315</v>
      </c>
      <c r="X367" s="2" t="s">
        <v>319</v>
      </c>
      <c r="Y367" s="2" t="s">
        <v>315</v>
      </c>
      <c r="Z367" s="2" t="s">
        <v>312</v>
      </c>
      <c r="AA367" s="2" t="s">
        <v>316</v>
      </c>
      <c r="AB367" s="2" t="s">
        <v>323</v>
      </c>
      <c r="AC367" s="2" t="s">
        <v>1098</v>
      </c>
      <c r="AD367" s="2" t="s">
        <v>1105</v>
      </c>
    </row>
    <row r="368" spans="1:30" hidden="1" x14ac:dyDescent="0.3">
      <c r="A368" s="1">
        <v>45770.052118055559</v>
      </c>
      <c r="B368" s="2" t="s">
        <v>111</v>
      </c>
      <c r="C368" s="2" t="s">
        <v>184</v>
      </c>
      <c r="D368" s="2">
        <v>47</v>
      </c>
      <c r="E368" s="2" t="s">
        <v>231</v>
      </c>
      <c r="F368" s="2" t="s">
        <v>233</v>
      </c>
      <c r="G368" s="2" t="s">
        <v>238</v>
      </c>
      <c r="H368" s="2" t="s">
        <v>246</v>
      </c>
      <c r="I368" s="2">
        <v>8</v>
      </c>
      <c r="J368" s="2" t="s">
        <v>255</v>
      </c>
      <c r="K368" s="2" t="s">
        <v>310</v>
      </c>
      <c r="L368" s="2">
        <v>13</v>
      </c>
      <c r="M368" s="2" t="s">
        <v>275</v>
      </c>
      <c r="N368" s="2">
        <v>3</v>
      </c>
      <c r="O368" s="2" t="s">
        <v>312</v>
      </c>
      <c r="P368" s="2" t="s">
        <v>312</v>
      </c>
      <c r="Q368" s="2" t="s">
        <v>311</v>
      </c>
      <c r="R368" s="2" t="s">
        <v>311</v>
      </c>
      <c r="S368" s="2" t="s">
        <v>311</v>
      </c>
      <c r="T368" s="2" t="s">
        <v>314</v>
      </c>
      <c r="U368" s="2" t="s">
        <v>311</v>
      </c>
      <c r="V368" s="2" t="s">
        <v>315</v>
      </c>
      <c r="W368" s="2" t="s">
        <v>315</v>
      </c>
      <c r="X368" s="2" t="s">
        <v>320</v>
      </c>
      <c r="Y368" s="2" t="s">
        <v>316</v>
      </c>
      <c r="Z368" s="2" t="s">
        <v>312</v>
      </c>
      <c r="AA368" s="2" t="s">
        <v>316</v>
      </c>
      <c r="AB368" s="2" t="s">
        <v>325</v>
      </c>
      <c r="AC368" s="2" t="s">
        <v>407</v>
      </c>
      <c r="AD368" s="2" t="s">
        <v>507</v>
      </c>
    </row>
    <row r="369" spans="1:30" hidden="1" x14ac:dyDescent="0.3">
      <c r="A369" s="2" t="s">
        <v>30</v>
      </c>
      <c r="B369" s="2" t="s">
        <v>531</v>
      </c>
      <c r="C369" s="2" t="s">
        <v>870</v>
      </c>
      <c r="D369" s="2">
        <v>48</v>
      </c>
      <c r="E369" s="2" t="s">
        <v>231</v>
      </c>
      <c r="F369" s="2" t="s">
        <v>235</v>
      </c>
      <c r="G369" s="2" t="s">
        <v>238</v>
      </c>
      <c r="H369" s="2" t="s">
        <v>246</v>
      </c>
      <c r="I369" s="2">
        <v>4</v>
      </c>
      <c r="J369" s="2" t="s">
        <v>284</v>
      </c>
      <c r="K369" s="2" t="s">
        <v>308</v>
      </c>
      <c r="L369" s="2">
        <v>8</v>
      </c>
      <c r="M369" s="2" t="s">
        <v>243</v>
      </c>
      <c r="N369" s="2">
        <v>1</v>
      </c>
      <c r="O369" s="2" t="s">
        <v>313</v>
      </c>
      <c r="P369" s="2" t="s">
        <v>311</v>
      </c>
      <c r="Q369" s="2" t="s">
        <v>311</v>
      </c>
      <c r="R369" s="2" t="s">
        <v>313</v>
      </c>
      <c r="S369" s="2" t="s">
        <v>311</v>
      </c>
      <c r="T369" s="2" t="s">
        <v>312</v>
      </c>
      <c r="U369" s="2" t="s">
        <v>312</v>
      </c>
      <c r="V369" s="2" t="s">
        <v>315</v>
      </c>
      <c r="W369" s="2" t="s">
        <v>315</v>
      </c>
      <c r="X369" s="2" t="s">
        <v>319</v>
      </c>
      <c r="Y369" s="2" t="s">
        <v>316</v>
      </c>
      <c r="Z369" s="2" t="s">
        <v>312</v>
      </c>
      <c r="AA369" s="2" t="s">
        <v>1095</v>
      </c>
      <c r="AB369" s="2" t="s">
        <v>323</v>
      </c>
      <c r="AC369" s="2" t="s">
        <v>1102</v>
      </c>
      <c r="AD369" s="2" t="s">
        <v>1105</v>
      </c>
    </row>
    <row r="370" spans="1:30" x14ac:dyDescent="0.3">
      <c r="A370" s="2" t="s">
        <v>30</v>
      </c>
      <c r="B370" s="2" t="s">
        <v>633</v>
      </c>
      <c r="C370" s="2" t="s">
        <v>765</v>
      </c>
      <c r="D370" s="2">
        <v>51</v>
      </c>
      <c r="E370" s="2" t="s">
        <v>232</v>
      </c>
      <c r="F370" s="2" t="s">
        <v>234</v>
      </c>
      <c r="G370" s="2" t="s">
        <v>243</v>
      </c>
      <c r="H370" s="2" t="s">
        <v>244</v>
      </c>
      <c r="I370" s="2">
        <v>5</v>
      </c>
      <c r="J370" s="2" t="s">
        <v>265</v>
      </c>
      <c r="K370" s="2" t="s">
        <v>308</v>
      </c>
      <c r="L370" s="2">
        <v>4</v>
      </c>
      <c r="M370" s="2" t="s">
        <v>251</v>
      </c>
      <c r="N370" s="2">
        <v>2</v>
      </c>
      <c r="O370" s="2" t="s">
        <v>312</v>
      </c>
      <c r="P370" s="2" t="s">
        <v>313</v>
      </c>
      <c r="Q370" s="2" t="s">
        <v>312</v>
      </c>
      <c r="R370" s="2" t="s">
        <v>314</v>
      </c>
      <c r="S370" s="2" t="s">
        <v>311</v>
      </c>
      <c r="T370" s="2" t="s">
        <v>311</v>
      </c>
      <c r="U370" s="2" t="s">
        <v>311</v>
      </c>
      <c r="V370" s="2" t="s">
        <v>315</v>
      </c>
      <c r="W370" s="2" t="s">
        <v>315</v>
      </c>
      <c r="X370" s="2" t="s">
        <v>319</v>
      </c>
      <c r="Y370" s="2" t="s">
        <v>315</v>
      </c>
      <c r="Z370" s="2" t="s">
        <v>312</v>
      </c>
      <c r="AA370" s="2" t="s">
        <v>321</v>
      </c>
      <c r="AB370" s="2" t="s">
        <v>326</v>
      </c>
      <c r="AC370" s="2" t="s">
        <v>1104</v>
      </c>
      <c r="AD370" s="2" t="s">
        <v>1105</v>
      </c>
    </row>
    <row r="371" spans="1:30" hidden="1" x14ac:dyDescent="0.3">
      <c r="A371" s="2" t="s">
        <v>30</v>
      </c>
      <c r="B371" s="2" t="s">
        <v>652</v>
      </c>
      <c r="C371" s="2" t="s">
        <v>664</v>
      </c>
      <c r="D371" s="2">
        <v>53</v>
      </c>
      <c r="E371" s="2" t="s">
        <v>231</v>
      </c>
      <c r="F371" s="2" t="s">
        <v>236</v>
      </c>
      <c r="G371" s="2" t="s">
        <v>241</v>
      </c>
      <c r="H371" s="2" t="s">
        <v>246</v>
      </c>
      <c r="I371" s="2">
        <v>7</v>
      </c>
      <c r="J371" s="2" t="s">
        <v>1071</v>
      </c>
      <c r="K371" s="2" t="s">
        <v>310</v>
      </c>
      <c r="L371" s="2">
        <v>19</v>
      </c>
      <c r="M371" s="2" t="s">
        <v>241</v>
      </c>
      <c r="N371" s="2">
        <v>0</v>
      </c>
      <c r="O371" s="2" t="s">
        <v>313</v>
      </c>
      <c r="P371" s="2" t="s">
        <v>314</v>
      </c>
      <c r="Q371" s="2" t="s">
        <v>314</v>
      </c>
      <c r="R371" s="2" t="s">
        <v>313</v>
      </c>
      <c r="S371" s="2" t="s">
        <v>311</v>
      </c>
      <c r="T371" s="2" t="s">
        <v>312</v>
      </c>
      <c r="U371" s="2" t="s">
        <v>312</v>
      </c>
      <c r="V371" s="2" t="s">
        <v>315</v>
      </c>
      <c r="W371" s="2" t="s">
        <v>315</v>
      </c>
      <c r="X371" s="2" t="s">
        <v>320</v>
      </c>
      <c r="Y371" s="2" t="s">
        <v>316</v>
      </c>
      <c r="Z371" s="2" t="s">
        <v>312</v>
      </c>
      <c r="AA371" s="2" t="s">
        <v>1095</v>
      </c>
      <c r="AB371" s="2" t="s">
        <v>325</v>
      </c>
      <c r="AC371" s="2" t="s">
        <v>1102</v>
      </c>
      <c r="AD371" s="2" t="s">
        <v>1105</v>
      </c>
    </row>
    <row r="372" spans="1:30" hidden="1" x14ac:dyDescent="0.3">
      <c r="A372" s="1">
        <v>45771.465590277781</v>
      </c>
      <c r="B372" s="2" t="s">
        <v>116</v>
      </c>
      <c r="C372" s="2" t="s">
        <v>865</v>
      </c>
      <c r="D372" s="2">
        <v>56</v>
      </c>
      <c r="E372" s="2" t="s">
        <v>231</v>
      </c>
      <c r="F372" s="2" t="s">
        <v>235</v>
      </c>
      <c r="G372" s="2" t="s">
        <v>240</v>
      </c>
      <c r="H372" s="2" t="s">
        <v>244</v>
      </c>
      <c r="I372" s="2">
        <v>23</v>
      </c>
      <c r="J372" s="2" t="s">
        <v>251</v>
      </c>
      <c r="K372" s="2" t="s">
        <v>310</v>
      </c>
      <c r="L372" s="2">
        <v>17</v>
      </c>
      <c r="M372" s="2" t="s">
        <v>262</v>
      </c>
      <c r="N372" s="2">
        <v>2</v>
      </c>
      <c r="O372" s="2" t="s">
        <v>311</v>
      </c>
      <c r="P372" s="2" t="s">
        <v>311</v>
      </c>
      <c r="Q372" s="2" t="s">
        <v>311</v>
      </c>
      <c r="R372" s="2" t="s">
        <v>311</v>
      </c>
      <c r="S372" s="2" t="s">
        <v>311</v>
      </c>
      <c r="T372" s="2" t="s">
        <v>314</v>
      </c>
      <c r="U372" s="2" t="s">
        <v>312</v>
      </c>
      <c r="V372" s="2" t="s">
        <v>315</v>
      </c>
      <c r="W372" s="2" t="s">
        <v>315</v>
      </c>
      <c r="X372" s="2" t="s">
        <v>318</v>
      </c>
      <c r="Y372" s="2" t="s">
        <v>315</v>
      </c>
      <c r="Z372" s="2" t="s">
        <v>312</v>
      </c>
      <c r="AA372" s="2" t="s">
        <v>316</v>
      </c>
      <c r="AB372" s="2" t="s">
        <v>323</v>
      </c>
      <c r="AC372" s="2" t="s">
        <v>412</v>
      </c>
      <c r="AD372" s="2" t="s">
        <v>512</v>
      </c>
    </row>
    <row r="373" spans="1:30" x14ac:dyDescent="0.3">
      <c r="A373" s="2" t="s">
        <v>30</v>
      </c>
      <c r="B373" s="2" t="s">
        <v>593</v>
      </c>
      <c r="C373" s="2" t="s">
        <v>223</v>
      </c>
      <c r="D373" s="2">
        <v>26</v>
      </c>
      <c r="E373" s="2" t="s">
        <v>232</v>
      </c>
      <c r="F373" s="2" t="s">
        <v>237</v>
      </c>
      <c r="G373" s="2" t="s">
        <v>239</v>
      </c>
      <c r="H373" s="2" t="s">
        <v>244</v>
      </c>
      <c r="I373" s="2">
        <v>15</v>
      </c>
      <c r="J373" s="2" t="s">
        <v>1073</v>
      </c>
      <c r="K373" s="2" t="s">
        <v>308</v>
      </c>
      <c r="L373" s="2">
        <v>19</v>
      </c>
      <c r="M373" s="2" t="s">
        <v>249</v>
      </c>
      <c r="N373" s="2">
        <v>3</v>
      </c>
      <c r="O373" s="2" t="s">
        <v>313</v>
      </c>
      <c r="P373" s="2" t="s">
        <v>314</v>
      </c>
      <c r="Q373" s="2" t="s">
        <v>311</v>
      </c>
      <c r="R373" s="2" t="s">
        <v>312</v>
      </c>
      <c r="S373" s="2" t="s">
        <v>311</v>
      </c>
      <c r="T373" s="2" t="s">
        <v>313</v>
      </c>
      <c r="U373" s="2" t="s">
        <v>313</v>
      </c>
      <c r="V373" s="2" t="s">
        <v>315</v>
      </c>
      <c r="W373" s="2" t="s">
        <v>315</v>
      </c>
      <c r="X373" s="2" t="s">
        <v>317</v>
      </c>
      <c r="Y373" s="2" t="s">
        <v>316</v>
      </c>
      <c r="Z373" s="2" t="s">
        <v>314</v>
      </c>
      <c r="AA373" s="2" t="s">
        <v>316</v>
      </c>
      <c r="AB373" s="2" t="s">
        <v>323</v>
      </c>
      <c r="AC373" s="2" t="s">
        <v>1103</v>
      </c>
      <c r="AD373" s="2" t="s">
        <v>1105</v>
      </c>
    </row>
    <row r="374" spans="1:30" hidden="1" x14ac:dyDescent="0.3">
      <c r="A374" s="2" t="s">
        <v>30</v>
      </c>
      <c r="B374" s="2" t="s">
        <v>529</v>
      </c>
      <c r="C374" s="2" t="s">
        <v>198</v>
      </c>
      <c r="D374" s="2">
        <v>28</v>
      </c>
      <c r="E374" s="2" t="s">
        <v>231</v>
      </c>
      <c r="F374" s="2" t="s">
        <v>234</v>
      </c>
      <c r="G374" s="2" t="s">
        <v>242</v>
      </c>
      <c r="H374" s="2" t="s">
        <v>246</v>
      </c>
      <c r="I374" s="2">
        <v>7</v>
      </c>
      <c r="J374" s="2" t="s">
        <v>282</v>
      </c>
      <c r="K374" s="2" t="s">
        <v>309</v>
      </c>
      <c r="L374" s="2">
        <v>14</v>
      </c>
      <c r="M374" s="2" t="s">
        <v>255</v>
      </c>
      <c r="N374" s="2">
        <v>2</v>
      </c>
      <c r="O374" s="2" t="s">
        <v>313</v>
      </c>
      <c r="P374" s="2" t="s">
        <v>314</v>
      </c>
      <c r="Q374" s="2" t="s">
        <v>312</v>
      </c>
      <c r="R374" s="2" t="s">
        <v>313</v>
      </c>
      <c r="S374" s="2" t="s">
        <v>312</v>
      </c>
      <c r="T374" s="2" t="s">
        <v>311</v>
      </c>
      <c r="U374" s="2" t="s">
        <v>311</v>
      </c>
      <c r="V374" s="2" t="s">
        <v>315</v>
      </c>
      <c r="W374" s="2" t="s">
        <v>315</v>
      </c>
      <c r="X374" s="2" t="s">
        <v>318</v>
      </c>
      <c r="Y374" s="2" t="s">
        <v>315</v>
      </c>
      <c r="Z374" s="2" t="s">
        <v>314</v>
      </c>
      <c r="AA374" s="2" t="s">
        <v>1095</v>
      </c>
      <c r="AB374" s="2" t="s">
        <v>325</v>
      </c>
      <c r="AC374" s="2" t="s">
        <v>1097</v>
      </c>
      <c r="AD374" s="2" t="s">
        <v>1105</v>
      </c>
    </row>
    <row r="375" spans="1:30" x14ac:dyDescent="0.3">
      <c r="A375" s="2" t="s">
        <v>30</v>
      </c>
      <c r="B375" s="2" t="s">
        <v>639</v>
      </c>
      <c r="C375" s="2" t="s">
        <v>219</v>
      </c>
      <c r="D375" s="2">
        <v>28</v>
      </c>
      <c r="E375" s="2" t="s">
        <v>232</v>
      </c>
      <c r="F375" s="2" t="s">
        <v>233</v>
      </c>
      <c r="G375" s="2" t="s">
        <v>243</v>
      </c>
      <c r="H375" s="2" t="s">
        <v>244</v>
      </c>
      <c r="I375" s="2">
        <v>4</v>
      </c>
      <c r="J375" s="2" t="s">
        <v>1090</v>
      </c>
      <c r="K375" s="2" t="s">
        <v>310</v>
      </c>
      <c r="L375" s="2">
        <v>18</v>
      </c>
      <c r="M375" s="2" t="s">
        <v>249</v>
      </c>
      <c r="N375" s="2">
        <v>0</v>
      </c>
      <c r="O375" s="2" t="s">
        <v>314</v>
      </c>
      <c r="P375" s="2" t="s">
        <v>313</v>
      </c>
      <c r="Q375" s="2" t="s">
        <v>312</v>
      </c>
      <c r="R375" s="2" t="s">
        <v>313</v>
      </c>
      <c r="S375" s="2" t="s">
        <v>314</v>
      </c>
      <c r="T375" s="2" t="s">
        <v>312</v>
      </c>
      <c r="U375" s="2" t="s">
        <v>312</v>
      </c>
      <c r="V375" s="2" t="s">
        <v>315</v>
      </c>
      <c r="W375" s="2" t="s">
        <v>315</v>
      </c>
      <c r="X375" s="2" t="s">
        <v>320</v>
      </c>
      <c r="Y375" s="2" t="s">
        <v>316</v>
      </c>
      <c r="Z375" s="2" t="s">
        <v>314</v>
      </c>
      <c r="AA375" s="2" t="s">
        <v>321</v>
      </c>
      <c r="AB375" s="2" t="s">
        <v>324</v>
      </c>
      <c r="AC375" s="2" t="s">
        <v>1101</v>
      </c>
      <c r="AD375" s="2" t="s">
        <v>1105</v>
      </c>
    </row>
    <row r="376" spans="1:30" x14ac:dyDescent="0.3">
      <c r="A376" s="2" t="s">
        <v>30</v>
      </c>
      <c r="B376" s="2" t="s">
        <v>584</v>
      </c>
      <c r="C376" s="2" t="s">
        <v>932</v>
      </c>
      <c r="D376" s="2">
        <v>30</v>
      </c>
      <c r="E376" s="2" t="s">
        <v>232</v>
      </c>
      <c r="F376" s="2" t="s">
        <v>233</v>
      </c>
      <c r="G376" s="2" t="s">
        <v>239</v>
      </c>
      <c r="H376" s="2" t="s">
        <v>244</v>
      </c>
      <c r="I376" s="2">
        <v>13</v>
      </c>
      <c r="J376" s="2" t="s">
        <v>1052</v>
      </c>
      <c r="K376" s="2" t="s">
        <v>310</v>
      </c>
      <c r="L376" s="2">
        <v>19</v>
      </c>
      <c r="M376" s="2" t="s">
        <v>249</v>
      </c>
      <c r="N376" s="2">
        <v>0</v>
      </c>
      <c r="O376" s="2" t="s">
        <v>312</v>
      </c>
      <c r="P376" s="2" t="s">
        <v>314</v>
      </c>
      <c r="Q376" s="2" t="s">
        <v>311</v>
      </c>
      <c r="R376" s="2" t="s">
        <v>311</v>
      </c>
      <c r="S376" s="2" t="s">
        <v>314</v>
      </c>
      <c r="T376" s="2" t="s">
        <v>313</v>
      </c>
      <c r="U376" s="2" t="s">
        <v>313</v>
      </c>
      <c r="V376" s="2" t="s">
        <v>315</v>
      </c>
      <c r="W376" s="2" t="s">
        <v>315</v>
      </c>
      <c r="X376" s="2" t="s">
        <v>318</v>
      </c>
      <c r="Y376" s="2" t="s">
        <v>316</v>
      </c>
      <c r="Z376" s="2" t="s">
        <v>314</v>
      </c>
      <c r="AA376" s="2" t="s">
        <v>321</v>
      </c>
      <c r="AB376" s="2" t="s">
        <v>323</v>
      </c>
      <c r="AC376" s="2" t="s">
        <v>1098</v>
      </c>
      <c r="AD376" s="2" t="s">
        <v>1105</v>
      </c>
    </row>
    <row r="377" spans="1:30" hidden="1" x14ac:dyDescent="0.3">
      <c r="A377" s="2" t="s">
        <v>30</v>
      </c>
      <c r="B377" s="2" t="s">
        <v>547</v>
      </c>
      <c r="C377" s="2" t="s">
        <v>862</v>
      </c>
      <c r="D377" s="2">
        <v>30</v>
      </c>
      <c r="E377" s="2" t="s">
        <v>231</v>
      </c>
      <c r="F377" s="2" t="s">
        <v>237</v>
      </c>
      <c r="G377" s="2" t="s">
        <v>242</v>
      </c>
      <c r="H377" s="2" t="s">
        <v>245</v>
      </c>
      <c r="I377" s="2">
        <v>11</v>
      </c>
      <c r="J377" s="2" t="s">
        <v>1073</v>
      </c>
      <c r="K377" s="2" t="s">
        <v>309</v>
      </c>
      <c r="L377" s="2">
        <v>19</v>
      </c>
      <c r="M377" s="2" t="s">
        <v>251</v>
      </c>
      <c r="N377" s="2">
        <v>0</v>
      </c>
      <c r="O377" s="2" t="s">
        <v>313</v>
      </c>
      <c r="P377" s="2" t="s">
        <v>313</v>
      </c>
      <c r="Q377" s="2" t="s">
        <v>314</v>
      </c>
      <c r="R377" s="2" t="s">
        <v>311</v>
      </c>
      <c r="S377" s="2" t="s">
        <v>312</v>
      </c>
      <c r="T377" s="2" t="s">
        <v>314</v>
      </c>
      <c r="U377" s="2" t="s">
        <v>314</v>
      </c>
      <c r="V377" s="2" t="s">
        <v>315</v>
      </c>
      <c r="W377" s="2" t="s">
        <v>315</v>
      </c>
      <c r="X377" s="2" t="s">
        <v>320</v>
      </c>
      <c r="Y377" s="2" t="s">
        <v>316</v>
      </c>
      <c r="Z377" s="2" t="s">
        <v>314</v>
      </c>
      <c r="AA377" s="2" t="s">
        <v>1095</v>
      </c>
      <c r="AB377" s="2" t="s">
        <v>326</v>
      </c>
      <c r="AC377" s="2" t="s">
        <v>1101</v>
      </c>
      <c r="AD377" s="2" t="s">
        <v>1105</v>
      </c>
    </row>
    <row r="378" spans="1:30" x14ac:dyDescent="0.3">
      <c r="A378" s="1">
        <v>45701.245636574073</v>
      </c>
      <c r="B378" s="2" t="s">
        <v>108</v>
      </c>
      <c r="C378" s="2" t="s">
        <v>704</v>
      </c>
      <c r="D378" s="2">
        <v>33</v>
      </c>
      <c r="E378" s="2" t="s">
        <v>232</v>
      </c>
      <c r="F378" s="2" t="s">
        <v>234</v>
      </c>
      <c r="G378" s="2" t="s">
        <v>240</v>
      </c>
      <c r="H378" s="2" t="s">
        <v>246</v>
      </c>
      <c r="I378" s="2">
        <v>24</v>
      </c>
      <c r="J378" s="2" t="s">
        <v>259</v>
      </c>
      <c r="K378" s="2" t="s">
        <v>309</v>
      </c>
      <c r="L378" s="2">
        <v>17</v>
      </c>
      <c r="M378" s="2" t="s">
        <v>255</v>
      </c>
      <c r="N378" s="2">
        <v>2</v>
      </c>
      <c r="O378" s="2" t="s">
        <v>312</v>
      </c>
      <c r="P378" s="2" t="s">
        <v>311</v>
      </c>
      <c r="Q378" s="2" t="s">
        <v>314</v>
      </c>
      <c r="R378" s="2" t="s">
        <v>313</v>
      </c>
      <c r="S378" s="2" t="s">
        <v>311</v>
      </c>
      <c r="T378" s="2" t="s">
        <v>311</v>
      </c>
      <c r="U378" s="2" t="s">
        <v>311</v>
      </c>
      <c r="V378" s="2" t="s">
        <v>315</v>
      </c>
      <c r="W378" s="2" t="s">
        <v>315</v>
      </c>
      <c r="X378" s="2" t="s">
        <v>318</v>
      </c>
      <c r="Y378" s="2" t="s">
        <v>316</v>
      </c>
      <c r="Z378" s="2" t="s">
        <v>314</v>
      </c>
      <c r="AA378" s="2" t="s">
        <v>321</v>
      </c>
      <c r="AB378" s="2" t="s">
        <v>325</v>
      </c>
      <c r="AC378" s="2" t="s">
        <v>404</v>
      </c>
      <c r="AD378" s="2" t="s">
        <v>504</v>
      </c>
    </row>
    <row r="379" spans="1:30" hidden="1" x14ac:dyDescent="0.3">
      <c r="A379" s="2" t="s">
        <v>30</v>
      </c>
      <c r="B379" s="2" t="s">
        <v>539</v>
      </c>
      <c r="C379" s="2" t="s">
        <v>804</v>
      </c>
      <c r="D379" s="2">
        <v>35</v>
      </c>
      <c r="E379" s="2" t="s">
        <v>231</v>
      </c>
      <c r="F379" s="2" t="s">
        <v>234</v>
      </c>
      <c r="G379" s="2" t="s">
        <v>242</v>
      </c>
      <c r="H379" s="2" t="s">
        <v>245</v>
      </c>
      <c r="I379" s="2">
        <v>29</v>
      </c>
      <c r="J379" s="2" t="s">
        <v>1010</v>
      </c>
      <c r="K379" s="2" t="s">
        <v>309</v>
      </c>
      <c r="L379" s="2">
        <v>0</v>
      </c>
      <c r="M379" s="2" t="s">
        <v>251</v>
      </c>
      <c r="N379" s="2">
        <v>2</v>
      </c>
      <c r="O379" s="2" t="s">
        <v>311</v>
      </c>
      <c r="P379" s="2" t="s">
        <v>311</v>
      </c>
      <c r="Q379" s="2" t="s">
        <v>312</v>
      </c>
      <c r="R379" s="2" t="s">
        <v>313</v>
      </c>
      <c r="S379" s="2" t="s">
        <v>312</v>
      </c>
      <c r="T379" s="2" t="s">
        <v>314</v>
      </c>
      <c r="U379" s="2" t="s">
        <v>314</v>
      </c>
      <c r="V379" s="2" t="s">
        <v>315</v>
      </c>
      <c r="W379" s="2" t="s">
        <v>315</v>
      </c>
      <c r="X379" s="2" t="s">
        <v>320</v>
      </c>
      <c r="Y379" s="2" t="s">
        <v>315</v>
      </c>
      <c r="Z379" s="2" t="s">
        <v>314</v>
      </c>
      <c r="AA379" s="2" t="s">
        <v>321</v>
      </c>
      <c r="AB379" s="2" t="s">
        <v>325</v>
      </c>
      <c r="AC379" s="2" t="s">
        <v>1098</v>
      </c>
      <c r="AD379" s="2" t="s">
        <v>1105</v>
      </c>
    </row>
    <row r="380" spans="1:30" x14ac:dyDescent="0.3">
      <c r="A380" s="2" t="s">
        <v>30</v>
      </c>
      <c r="B380" s="2" t="s">
        <v>603</v>
      </c>
      <c r="C380" s="2" t="s">
        <v>780</v>
      </c>
      <c r="D380" s="2">
        <v>35</v>
      </c>
      <c r="E380" s="2" t="s">
        <v>232</v>
      </c>
      <c r="F380" s="2" t="s">
        <v>234</v>
      </c>
      <c r="G380" s="2" t="s">
        <v>238</v>
      </c>
      <c r="H380" s="2" t="s">
        <v>245</v>
      </c>
      <c r="I380" s="2">
        <v>17</v>
      </c>
      <c r="J380" s="2" t="s">
        <v>1041</v>
      </c>
      <c r="K380" s="2" t="s">
        <v>309</v>
      </c>
      <c r="L380" s="2">
        <v>7</v>
      </c>
      <c r="M380" s="2" t="s">
        <v>251</v>
      </c>
      <c r="N380" s="2">
        <v>1</v>
      </c>
      <c r="O380" s="2" t="s">
        <v>314</v>
      </c>
      <c r="P380" s="2" t="s">
        <v>312</v>
      </c>
      <c r="Q380" s="2" t="s">
        <v>313</v>
      </c>
      <c r="R380" s="2" t="s">
        <v>314</v>
      </c>
      <c r="S380" s="2" t="s">
        <v>314</v>
      </c>
      <c r="T380" s="2" t="s">
        <v>313</v>
      </c>
      <c r="U380" s="2" t="s">
        <v>313</v>
      </c>
      <c r="V380" s="2" t="s">
        <v>315</v>
      </c>
      <c r="W380" s="2" t="s">
        <v>315</v>
      </c>
      <c r="X380" s="2" t="s">
        <v>318</v>
      </c>
      <c r="Y380" s="2" t="s">
        <v>315</v>
      </c>
      <c r="Z380" s="2" t="s">
        <v>314</v>
      </c>
      <c r="AA380" s="2" t="s">
        <v>1095</v>
      </c>
      <c r="AB380" s="2" t="s">
        <v>326</v>
      </c>
      <c r="AC380" s="2" t="s">
        <v>1102</v>
      </c>
      <c r="AD380" s="2" t="s">
        <v>1105</v>
      </c>
    </row>
    <row r="381" spans="1:30" x14ac:dyDescent="0.3">
      <c r="A381" s="2" t="s">
        <v>30</v>
      </c>
      <c r="B381" s="2" t="s">
        <v>531</v>
      </c>
      <c r="C381" s="2" t="s">
        <v>684</v>
      </c>
      <c r="D381" s="2">
        <v>35</v>
      </c>
      <c r="E381" s="2" t="s">
        <v>232</v>
      </c>
      <c r="F381" s="2" t="s">
        <v>233</v>
      </c>
      <c r="G381" s="2" t="s">
        <v>242</v>
      </c>
      <c r="H381" s="2" t="s">
        <v>245</v>
      </c>
      <c r="I381" s="2">
        <v>2</v>
      </c>
      <c r="J381" s="2" t="s">
        <v>243</v>
      </c>
      <c r="K381" s="2" t="s">
        <v>308</v>
      </c>
      <c r="L381" s="2">
        <v>12</v>
      </c>
      <c r="M381" s="2" t="s">
        <v>243</v>
      </c>
      <c r="N381" s="2">
        <v>3</v>
      </c>
      <c r="O381" s="2" t="s">
        <v>311</v>
      </c>
      <c r="P381" s="2" t="s">
        <v>312</v>
      </c>
      <c r="Q381" s="2" t="s">
        <v>314</v>
      </c>
      <c r="R381" s="2" t="s">
        <v>313</v>
      </c>
      <c r="S381" s="2" t="s">
        <v>314</v>
      </c>
      <c r="T381" s="2" t="s">
        <v>311</v>
      </c>
      <c r="U381" s="2" t="s">
        <v>311</v>
      </c>
      <c r="V381" s="2" t="s">
        <v>315</v>
      </c>
      <c r="W381" s="2" t="s">
        <v>315</v>
      </c>
      <c r="X381" s="2" t="s">
        <v>317</v>
      </c>
      <c r="Y381" s="2" t="s">
        <v>316</v>
      </c>
      <c r="Z381" s="2" t="s">
        <v>314</v>
      </c>
      <c r="AA381" s="2" t="s">
        <v>321</v>
      </c>
      <c r="AB381" s="2" t="s">
        <v>324</v>
      </c>
      <c r="AC381" s="2" t="s">
        <v>1097</v>
      </c>
      <c r="AD381" s="2" t="s">
        <v>1105</v>
      </c>
    </row>
    <row r="382" spans="1:30" hidden="1" x14ac:dyDescent="0.3">
      <c r="A382" s="1">
        <v>45713.425775462973</v>
      </c>
      <c r="B382" s="2" t="s">
        <v>37</v>
      </c>
      <c r="C382" s="2" t="s">
        <v>936</v>
      </c>
      <c r="D382" s="2">
        <v>40</v>
      </c>
      <c r="E382" s="2" t="s">
        <v>231</v>
      </c>
      <c r="F382" s="2" t="s">
        <v>236</v>
      </c>
      <c r="G382" s="2" t="s">
        <v>239</v>
      </c>
      <c r="H382" s="2" t="s">
        <v>244</v>
      </c>
      <c r="I382" s="2" t="s">
        <v>1132</v>
      </c>
      <c r="J382" s="2" t="s">
        <v>252</v>
      </c>
      <c r="K382" s="2" t="s">
        <v>310</v>
      </c>
      <c r="L382" s="2">
        <v>20</v>
      </c>
      <c r="M382" s="2" t="s">
        <v>241</v>
      </c>
      <c r="N382" s="2">
        <v>2</v>
      </c>
      <c r="O382" s="2" t="s">
        <v>311</v>
      </c>
      <c r="P382" s="2" t="s">
        <v>311</v>
      </c>
      <c r="Q382" s="2" t="s">
        <v>313</v>
      </c>
      <c r="R382" s="2" t="s">
        <v>311</v>
      </c>
      <c r="S382" s="2" t="s">
        <v>312</v>
      </c>
      <c r="T382" s="2" t="s">
        <v>313</v>
      </c>
      <c r="U382" s="2" t="s">
        <v>314</v>
      </c>
      <c r="V382" s="2" t="s">
        <v>315</v>
      </c>
      <c r="W382" s="2" t="s">
        <v>315</v>
      </c>
      <c r="X382" s="2" t="s">
        <v>320</v>
      </c>
      <c r="Y382" s="2" t="s">
        <v>315</v>
      </c>
      <c r="Z382" s="2" t="s">
        <v>314</v>
      </c>
      <c r="AA382" s="2" t="s">
        <v>322</v>
      </c>
      <c r="AB382" s="2" t="s">
        <v>325</v>
      </c>
      <c r="AC382" s="2" t="s">
        <v>333</v>
      </c>
      <c r="AD382" s="2" t="s">
        <v>433</v>
      </c>
    </row>
    <row r="383" spans="1:30" hidden="1" x14ac:dyDescent="0.3">
      <c r="A383" s="1">
        <v>45831.661793981482</v>
      </c>
      <c r="B383" s="2" t="s">
        <v>70</v>
      </c>
      <c r="C383" s="2" t="s">
        <v>139</v>
      </c>
      <c r="D383" s="2">
        <v>41</v>
      </c>
      <c r="E383" s="2" t="s">
        <v>231</v>
      </c>
      <c r="F383" s="2" t="s">
        <v>236</v>
      </c>
      <c r="G383" s="2" t="s">
        <v>240</v>
      </c>
      <c r="H383" s="2" t="s">
        <v>245</v>
      </c>
      <c r="I383" s="2">
        <v>17</v>
      </c>
      <c r="J383" s="2" t="s">
        <v>272</v>
      </c>
      <c r="K383" s="2" t="s">
        <v>308</v>
      </c>
      <c r="L383" s="2">
        <v>7</v>
      </c>
      <c r="M383" s="2" t="s">
        <v>262</v>
      </c>
      <c r="N383" s="2">
        <v>3</v>
      </c>
      <c r="O383" s="2" t="s">
        <v>313</v>
      </c>
      <c r="P383" s="2" t="s">
        <v>312</v>
      </c>
      <c r="Q383" s="2" t="s">
        <v>311</v>
      </c>
      <c r="R383" s="2" t="s">
        <v>314</v>
      </c>
      <c r="S383" s="2" t="s">
        <v>313</v>
      </c>
      <c r="T383" s="2" t="s">
        <v>314</v>
      </c>
      <c r="U383" s="2" t="s">
        <v>311</v>
      </c>
      <c r="V383" s="2" t="s">
        <v>315</v>
      </c>
      <c r="W383" s="2" t="s">
        <v>315</v>
      </c>
      <c r="X383" s="2" t="s">
        <v>319</v>
      </c>
      <c r="Y383" s="2" t="s">
        <v>316</v>
      </c>
      <c r="Z383" s="2" t="s">
        <v>314</v>
      </c>
      <c r="AA383" s="2" t="s">
        <v>321</v>
      </c>
      <c r="AB383" s="2" t="s">
        <v>324</v>
      </c>
      <c r="AC383" s="2" t="s">
        <v>366</v>
      </c>
      <c r="AD383" s="2" t="s">
        <v>466</v>
      </c>
    </row>
    <row r="384" spans="1:30" x14ac:dyDescent="0.3">
      <c r="A384" s="2" t="s">
        <v>30</v>
      </c>
      <c r="B384" s="2" t="s">
        <v>594</v>
      </c>
      <c r="C384" s="2" t="s">
        <v>749</v>
      </c>
      <c r="D384" s="2">
        <v>41</v>
      </c>
      <c r="E384" s="2" t="s">
        <v>232</v>
      </c>
      <c r="F384" s="2" t="s">
        <v>236</v>
      </c>
      <c r="G384" s="2" t="s">
        <v>239</v>
      </c>
      <c r="H384" s="2" t="s">
        <v>246</v>
      </c>
      <c r="I384" s="2">
        <v>2</v>
      </c>
      <c r="J384" s="2" t="s">
        <v>1005</v>
      </c>
      <c r="K384" s="2" t="s">
        <v>308</v>
      </c>
      <c r="L384" s="2">
        <v>1</v>
      </c>
      <c r="M384" s="2" t="s">
        <v>249</v>
      </c>
      <c r="N384" s="2">
        <v>2</v>
      </c>
      <c r="O384" s="2" t="s">
        <v>314</v>
      </c>
      <c r="P384" s="2" t="s">
        <v>311</v>
      </c>
      <c r="Q384" s="2" t="s">
        <v>314</v>
      </c>
      <c r="R384" s="2" t="s">
        <v>312</v>
      </c>
      <c r="S384" s="2" t="s">
        <v>314</v>
      </c>
      <c r="T384" s="2" t="s">
        <v>312</v>
      </c>
      <c r="U384" s="2" t="s">
        <v>312</v>
      </c>
      <c r="V384" s="2" t="s">
        <v>315</v>
      </c>
      <c r="W384" s="2" t="s">
        <v>315</v>
      </c>
      <c r="X384" s="2" t="s">
        <v>320</v>
      </c>
      <c r="Y384" s="2" t="s">
        <v>316</v>
      </c>
      <c r="Z384" s="2" t="s">
        <v>314</v>
      </c>
      <c r="AA384" s="2" t="s">
        <v>1095</v>
      </c>
      <c r="AB384" s="2" t="s">
        <v>326</v>
      </c>
      <c r="AC384" s="2" t="s">
        <v>1103</v>
      </c>
      <c r="AD384" s="2" t="s">
        <v>1105</v>
      </c>
    </row>
    <row r="385" spans="1:30" x14ac:dyDescent="0.3">
      <c r="A385" s="1">
        <v>45710.109155092592</v>
      </c>
      <c r="B385" s="2" t="s">
        <v>33</v>
      </c>
      <c r="C385" s="2" t="s">
        <v>744</v>
      </c>
      <c r="D385" s="2">
        <v>42</v>
      </c>
      <c r="E385" s="2" t="s">
        <v>232</v>
      </c>
      <c r="F385" s="2" t="s">
        <v>233</v>
      </c>
      <c r="G385" s="2" t="s">
        <v>238</v>
      </c>
      <c r="H385" s="2" t="s">
        <v>245</v>
      </c>
      <c r="I385" s="2">
        <v>23</v>
      </c>
      <c r="J385" s="2" t="s">
        <v>249</v>
      </c>
      <c r="K385" s="2" t="s">
        <v>309</v>
      </c>
      <c r="L385" s="2">
        <v>20</v>
      </c>
      <c r="M385" s="2" t="s">
        <v>241</v>
      </c>
      <c r="N385" s="2">
        <v>2</v>
      </c>
      <c r="O385" s="2" t="s">
        <v>312</v>
      </c>
      <c r="P385" s="2" t="s">
        <v>312</v>
      </c>
      <c r="Q385" s="2" t="s">
        <v>314</v>
      </c>
      <c r="R385" s="2" t="s">
        <v>314</v>
      </c>
      <c r="S385" s="2" t="s">
        <v>313</v>
      </c>
      <c r="T385" s="2" t="s">
        <v>312</v>
      </c>
      <c r="U385" s="2" t="s">
        <v>313</v>
      </c>
      <c r="V385" s="2" t="s">
        <v>315</v>
      </c>
      <c r="W385" s="2" t="s">
        <v>315</v>
      </c>
      <c r="X385" s="2" t="s">
        <v>319</v>
      </c>
      <c r="Y385" s="2" t="s">
        <v>316</v>
      </c>
      <c r="Z385" s="2" t="s">
        <v>314</v>
      </c>
      <c r="AA385" s="2" t="s">
        <v>322</v>
      </c>
      <c r="AB385" s="2" t="s">
        <v>324</v>
      </c>
      <c r="AC385" s="2" t="s">
        <v>329</v>
      </c>
      <c r="AD385" s="2" t="s">
        <v>429</v>
      </c>
    </row>
    <row r="386" spans="1:30" hidden="1" x14ac:dyDescent="0.3">
      <c r="A386" s="2" t="s">
        <v>30</v>
      </c>
      <c r="B386" s="2" t="s">
        <v>534</v>
      </c>
      <c r="C386" s="2" t="s">
        <v>192</v>
      </c>
      <c r="D386" s="2">
        <v>42</v>
      </c>
      <c r="E386" s="2" t="s">
        <v>231</v>
      </c>
      <c r="F386" s="2" t="s">
        <v>234</v>
      </c>
      <c r="G386" s="2" t="s">
        <v>241</v>
      </c>
      <c r="H386" s="2" t="s">
        <v>244</v>
      </c>
      <c r="I386" s="2">
        <v>3</v>
      </c>
      <c r="J386" s="2" t="s">
        <v>953</v>
      </c>
      <c r="K386" s="2" t="s">
        <v>308</v>
      </c>
      <c r="L386" s="2">
        <v>8</v>
      </c>
      <c r="M386" s="2" t="s">
        <v>249</v>
      </c>
      <c r="N386" s="2">
        <v>0</v>
      </c>
      <c r="O386" s="2" t="s">
        <v>311</v>
      </c>
      <c r="P386" s="2" t="s">
        <v>311</v>
      </c>
      <c r="Q386" s="2" t="s">
        <v>311</v>
      </c>
      <c r="R386" s="2" t="s">
        <v>314</v>
      </c>
      <c r="S386" s="2" t="s">
        <v>312</v>
      </c>
      <c r="T386" s="2" t="s">
        <v>311</v>
      </c>
      <c r="U386" s="2" t="s">
        <v>311</v>
      </c>
      <c r="V386" s="2" t="s">
        <v>315</v>
      </c>
      <c r="W386" s="2" t="s">
        <v>315</v>
      </c>
      <c r="X386" s="2" t="s">
        <v>319</v>
      </c>
      <c r="Y386" s="2" t="s">
        <v>315</v>
      </c>
      <c r="Z386" s="2" t="s">
        <v>314</v>
      </c>
      <c r="AA386" s="2" t="s">
        <v>316</v>
      </c>
      <c r="AB386" s="2" t="s">
        <v>326</v>
      </c>
      <c r="AC386" s="2" t="s">
        <v>1096</v>
      </c>
      <c r="AD386" s="2" t="s">
        <v>1105</v>
      </c>
    </row>
    <row r="387" spans="1:30" x14ac:dyDescent="0.3">
      <c r="A387" s="2" t="s">
        <v>30</v>
      </c>
      <c r="B387" s="2" t="s">
        <v>608</v>
      </c>
      <c r="C387" s="2" t="s">
        <v>931</v>
      </c>
      <c r="D387" s="2">
        <v>42</v>
      </c>
      <c r="E387" s="2" t="s">
        <v>232</v>
      </c>
      <c r="F387" s="2" t="s">
        <v>235</v>
      </c>
      <c r="G387" s="2" t="s">
        <v>242</v>
      </c>
      <c r="H387" s="2" t="s">
        <v>245</v>
      </c>
      <c r="I387" s="2">
        <v>30</v>
      </c>
      <c r="J387" s="2" t="s">
        <v>1030</v>
      </c>
      <c r="K387" s="2" t="s">
        <v>310</v>
      </c>
      <c r="L387" s="2">
        <v>20</v>
      </c>
      <c r="M387" s="2" t="s">
        <v>255</v>
      </c>
      <c r="N387" s="2">
        <v>0</v>
      </c>
      <c r="O387" s="2" t="s">
        <v>311</v>
      </c>
      <c r="P387" s="2" t="s">
        <v>311</v>
      </c>
      <c r="Q387" s="2" t="s">
        <v>311</v>
      </c>
      <c r="R387" s="2" t="s">
        <v>313</v>
      </c>
      <c r="S387" s="2" t="s">
        <v>312</v>
      </c>
      <c r="T387" s="2" t="s">
        <v>313</v>
      </c>
      <c r="U387" s="2" t="s">
        <v>313</v>
      </c>
      <c r="V387" s="2" t="s">
        <v>315</v>
      </c>
      <c r="W387" s="2" t="s">
        <v>315</v>
      </c>
      <c r="X387" s="2" t="s">
        <v>320</v>
      </c>
      <c r="Y387" s="2" t="s">
        <v>316</v>
      </c>
      <c r="Z387" s="2" t="s">
        <v>314</v>
      </c>
      <c r="AA387" s="2" t="s">
        <v>321</v>
      </c>
      <c r="AB387" s="2" t="s">
        <v>326</v>
      </c>
      <c r="AC387" s="2" t="s">
        <v>1097</v>
      </c>
      <c r="AD387" s="2" t="s">
        <v>1105</v>
      </c>
    </row>
    <row r="388" spans="1:30" hidden="1" x14ac:dyDescent="0.3">
      <c r="A388" s="1">
        <v>45817.444664351853</v>
      </c>
      <c r="B388" s="2" t="s">
        <v>56</v>
      </c>
      <c r="C388" s="2" t="s">
        <v>212</v>
      </c>
      <c r="D388" s="2">
        <v>44</v>
      </c>
      <c r="E388" s="2" t="s">
        <v>231</v>
      </c>
      <c r="F388" s="2" t="s">
        <v>237</v>
      </c>
      <c r="G388" s="2" t="s">
        <v>239</v>
      </c>
      <c r="H388" s="2" t="s">
        <v>245</v>
      </c>
      <c r="I388" s="2">
        <v>34</v>
      </c>
      <c r="J388" s="2" t="s">
        <v>265</v>
      </c>
      <c r="K388" s="2" t="s">
        <v>310</v>
      </c>
      <c r="L388" s="2">
        <v>10</v>
      </c>
      <c r="M388" s="2" t="s">
        <v>243</v>
      </c>
      <c r="N388" s="2">
        <v>0</v>
      </c>
      <c r="O388" s="2" t="s">
        <v>313</v>
      </c>
      <c r="P388" s="2" t="s">
        <v>313</v>
      </c>
      <c r="Q388" s="2" t="s">
        <v>313</v>
      </c>
      <c r="R388" s="2" t="s">
        <v>312</v>
      </c>
      <c r="S388" s="2" t="s">
        <v>311</v>
      </c>
      <c r="T388" s="2" t="s">
        <v>312</v>
      </c>
      <c r="U388" s="2" t="s">
        <v>313</v>
      </c>
      <c r="V388" s="2" t="s">
        <v>315</v>
      </c>
      <c r="W388" s="2" t="s">
        <v>315</v>
      </c>
      <c r="X388" s="2" t="s">
        <v>318</v>
      </c>
      <c r="Y388" s="2" t="s">
        <v>315</v>
      </c>
      <c r="Z388" s="2" t="s">
        <v>314</v>
      </c>
      <c r="AA388" s="2" t="s">
        <v>322</v>
      </c>
      <c r="AB388" s="2" t="s">
        <v>326</v>
      </c>
      <c r="AC388" s="2" t="s">
        <v>352</v>
      </c>
      <c r="AD388" s="2" t="s">
        <v>452</v>
      </c>
    </row>
    <row r="389" spans="1:30" hidden="1" x14ac:dyDescent="0.3">
      <c r="A389" s="1">
        <v>45815.945902777778</v>
      </c>
      <c r="B389" s="2" t="s">
        <v>34</v>
      </c>
      <c r="C389" s="2" t="s">
        <v>177</v>
      </c>
      <c r="D389" s="2">
        <v>45</v>
      </c>
      <c r="E389" s="2" t="s">
        <v>231</v>
      </c>
      <c r="F389" s="2" t="s">
        <v>235</v>
      </c>
      <c r="G389" s="2" t="s">
        <v>240</v>
      </c>
      <c r="H389" s="2" t="s">
        <v>246</v>
      </c>
      <c r="I389" s="2">
        <v>30</v>
      </c>
      <c r="J389" s="2" t="s">
        <v>243</v>
      </c>
      <c r="K389" s="2" t="s">
        <v>308</v>
      </c>
      <c r="L389" s="2">
        <v>7</v>
      </c>
      <c r="M389" s="2" t="s">
        <v>249</v>
      </c>
      <c r="N389" s="2">
        <v>1</v>
      </c>
      <c r="O389" s="2" t="s">
        <v>314</v>
      </c>
      <c r="P389" s="2" t="s">
        <v>314</v>
      </c>
      <c r="Q389" s="2" t="s">
        <v>313</v>
      </c>
      <c r="R389" s="2" t="s">
        <v>312</v>
      </c>
      <c r="S389" s="2" t="s">
        <v>312</v>
      </c>
      <c r="T389" s="2" t="s">
        <v>314</v>
      </c>
      <c r="U389" s="2" t="s">
        <v>311</v>
      </c>
      <c r="V389" s="2" t="s">
        <v>315</v>
      </c>
      <c r="W389" s="2" t="s">
        <v>315</v>
      </c>
      <c r="X389" s="2" t="s">
        <v>318</v>
      </c>
      <c r="Y389" s="2" t="s">
        <v>315</v>
      </c>
      <c r="Z389" s="2" t="s">
        <v>314</v>
      </c>
      <c r="AA389" s="2" t="s">
        <v>316</v>
      </c>
      <c r="AB389" s="2" t="s">
        <v>324</v>
      </c>
      <c r="AC389" s="2" t="s">
        <v>330</v>
      </c>
      <c r="AD389" s="2" t="s">
        <v>430</v>
      </c>
    </row>
    <row r="390" spans="1:30" x14ac:dyDescent="0.3">
      <c r="A390" s="2" t="s">
        <v>30</v>
      </c>
      <c r="B390" s="2" t="s">
        <v>541</v>
      </c>
      <c r="C390" s="2" t="s">
        <v>661</v>
      </c>
      <c r="D390" s="2">
        <v>45</v>
      </c>
      <c r="E390" s="2" t="s">
        <v>232</v>
      </c>
      <c r="F390" s="2" t="s">
        <v>237</v>
      </c>
      <c r="G390" s="2" t="s">
        <v>243</v>
      </c>
      <c r="H390" s="2" t="s">
        <v>244</v>
      </c>
      <c r="I390" s="2">
        <v>27</v>
      </c>
      <c r="J390" s="2" t="s">
        <v>253</v>
      </c>
      <c r="K390" s="2" t="s">
        <v>310</v>
      </c>
      <c r="L390" s="2">
        <v>15</v>
      </c>
      <c r="M390" s="2" t="s">
        <v>255</v>
      </c>
      <c r="N390" s="2">
        <v>0</v>
      </c>
      <c r="O390" s="2" t="s">
        <v>312</v>
      </c>
      <c r="P390" s="2" t="s">
        <v>311</v>
      </c>
      <c r="Q390" s="2" t="s">
        <v>313</v>
      </c>
      <c r="R390" s="2" t="s">
        <v>311</v>
      </c>
      <c r="S390" s="2" t="s">
        <v>311</v>
      </c>
      <c r="T390" s="2" t="s">
        <v>311</v>
      </c>
      <c r="U390" s="2" t="s">
        <v>311</v>
      </c>
      <c r="V390" s="2" t="s">
        <v>315</v>
      </c>
      <c r="W390" s="2" t="s">
        <v>315</v>
      </c>
      <c r="X390" s="2" t="s">
        <v>319</v>
      </c>
      <c r="Y390" s="2" t="s">
        <v>316</v>
      </c>
      <c r="Z390" s="2" t="s">
        <v>314</v>
      </c>
      <c r="AA390" s="2" t="s">
        <v>321</v>
      </c>
      <c r="AB390" s="2" t="s">
        <v>325</v>
      </c>
      <c r="AC390" s="2" t="s">
        <v>1099</v>
      </c>
      <c r="AD390" s="2" t="s">
        <v>1105</v>
      </c>
    </row>
    <row r="391" spans="1:30" hidden="1" x14ac:dyDescent="0.3">
      <c r="A391" s="2" t="s">
        <v>30</v>
      </c>
      <c r="B391" s="2" t="s">
        <v>568</v>
      </c>
      <c r="C391" s="2" t="s">
        <v>918</v>
      </c>
      <c r="D391" s="2">
        <v>46</v>
      </c>
      <c r="E391" s="2" t="s">
        <v>231</v>
      </c>
      <c r="F391" s="2" t="s">
        <v>234</v>
      </c>
      <c r="G391" s="2" t="s">
        <v>240</v>
      </c>
      <c r="H391" s="2" t="s">
        <v>246</v>
      </c>
      <c r="I391" s="2">
        <v>11</v>
      </c>
      <c r="J391" s="2" t="s">
        <v>255</v>
      </c>
      <c r="K391" s="2" t="s">
        <v>309</v>
      </c>
      <c r="L391" s="2">
        <v>14</v>
      </c>
      <c r="M391" s="2" t="s">
        <v>243</v>
      </c>
      <c r="N391" s="2">
        <v>1</v>
      </c>
      <c r="O391" s="2" t="s">
        <v>312</v>
      </c>
      <c r="P391" s="2" t="s">
        <v>313</v>
      </c>
      <c r="Q391" s="2" t="s">
        <v>311</v>
      </c>
      <c r="R391" s="2" t="s">
        <v>312</v>
      </c>
      <c r="S391" s="2" t="s">
        <v>313</v>
      </c>
      <c r="T391" s="2" t="s">
        <v>311</v>
      </c>
      <c r="U391" s="2" t="s">
        <v>311</v>
      </c>
      <c r="V391" s="2" t="s">
        <v>315</v>
      </c>
      <c r="W391" s="2" t="s">
        <v>315</v>
      </c>
      <c r="X391" s="2" t="s">
        <v>317</v>
      </c>
      <c r="Y391" s="2" t="s">
        <v>315</v>
      </c>
      <c r="Z391" s="2" t="s">
        <v>314</v>
      </c>
      <c r="AA391" s="2" t="s">
        <v>1095</v>
      </c>
      <c r="AB391" s="2" t="s">
        <v>324</v>
      </c>
      <c r="AC391" s="2" t="s">
        <v>1099</v>
      </c>
      <c r="AD391" s="2" t="s">
        <v>1105</v>
      </c>
    </row>
    <row r="392" spans="1:30" hidden="1" x14ac:dyDescent="0.3">
      <c r="A392" s="2" t="s">
        <v>30</v>
      </c>
      <c r="B392" s="2" t="s">
        <v>577</v>
      </c>
      <c r="C392" s="2" t="s">
        <v>676</v>
      </c>
      <c r="D392" s="2">
        <v>49</v>
      </c>
      <c r="E392" s="2" t="s">
        <v>231</v>
      </c>
      <c r="F392" s="2" t="s">
        <v>236</v>
      </c>
      <c r="G392" s="2" t="s">
        <v>240</v>
      </c>
      <c r="H392" s="2" t="s">
        <v>245</v>
      </c>
      <c r="I392" s="2">
        <v>14</v>
      </c>
      <c r="J392" s="2" t="s">
        <v>996</v>
      </c>
      <c r="K392" s="2" t="s">
        <v>309</v>
      </c>
      <c r="L392" s="2">
        <v>5</v>
      </c>
      <c r="M392" s="2" t="s">
        <v>251</v>
      </c>
      <c r="N392" s="2">
        <v>3</v>
      </c>
      <c r="O392" s="2" t="s">
        <v>313</v>
      </c>
      <c r="P392" s="2" t="s">
        <v>314</v>
      </c>
      <c r="Q392" s="2" t="s">
        <v>313</v>
      </c>
      <c r="R392" s="2" t="s">
        <v>312</v>
      </c>
      <c r="S392" s="2" t="s">
        <v>311</v>
      </c>
      <c r="T392" s="2" t="s">
        <v>312</v>
      </c>
      <c r="U392" s="2" t="s">
        <v>312</v>
      </c>
      <c r="V392" s="2" t="s">
        <v>315</v>
      </c>
      <c r="W392" s="2" t="s">
        <v>315</v>
      </c>
      <c r="X392" s="2" t="s">
        <v>318</v>
      </c>
      <c r="Y392" s="2" t="s">
        <v>316</v>
      </c>
      <c r="Z392" s="2" t="s">
        <v>314</v>
      </c>
      <c r="AA392" s="2" t="s">
        <v>321</v>
      </c>
      <c r="AB392" s="2" t="s">
        <v>325</v>
      </c>
      <c r="AC392" s="2" t="s">
        <v>1104</v>
      </c>
      <c r="AD392" s="2" t="s">
        <v>1105</v>
      </c>
    </row>
    <row r="393" spans="1:30" x14ac:dyDescent="0.3">
      <c r="A393" s="2" t="s">
        <v>30</v>
      </c>
      <c r="B393" s="2" t="s">
        <v>590</v>
      </c>
      <c r="C393" s="2" t="s">
        <v>798</v>
      </c>
      <c r="D393" s="2">
        <v>49</v>
      </c>
      <c r="E393" s="2" t="s">
        <v>232</v>
      </c>
      <c r="F393" s="2" t="s">
        <v>233</v>
      </c>
      <c r="G393" s="2" t="s">
        <v>241</v>
      </c>
      <c r="H393" s="2" t="s">
        <v>245</v>
      </c>
      <c r="I393" s="2">
        <v>23</v>
      </c>
      <c r="J393" s="2" t="s">
        <v>255</v>
      </c>
      <c r="K393" s="2" t="s">
        <v>308</v>
      </c>
      <c r="L393" s="2">
        <v>16</v>
      </c>
      <c r="M393" s="2" t="s">
        <v>262</v>
      </c>
      <c r="N393" s="2">
        <v>1</v>
      </c>
      <c r="O393" s="2" t="s">
        <v>313</v>
      </c>
      <c r="P393" s="2" t="s">
        <v>314</v>
      </c>
      <c r="Q393" s="2" t="s">
        <v>312</v>
      </c>
      <c r="R393" s="2" t="s">
        <v>312</v>
      </c>
      <c r="S393" s="2" t="s">
        <v>311</v>
      </c>
      <c r="T393" s="2" t="s">
        <v>312</v>
      </c>
      <c r="U393" s="2" t="s">
        <v>312</v>
      </c>
      <c r="V393" s="2" t="s">
        <v>315</v>
      </c>
      <c r="W393" s="2" t="s">
        <v>315</v>
      </c>
      <c r="X393" s="2" t="s">
        <v>317</v>
      </c>
      <c r="Y393" s="2" t="s">
        <v>315</v>
      </c>
      <c r="Z393" s="2" t="s">
        <v>314</v>
      </c>
      <c r="AA393" s="2" t="s">
        <v>316</v>
      </c>
      <c r="AB393" s="2" t="s">
        <v>323</v>
      </c>
      <c r="AC393" s="2" t="s">
        <v>1103</v>
      </c>
      <c r="AD393" s="2" t="s">
        <v>1105</v>
      </c>
    </row>
    <row r="394" spans="1:30" x14ac:dyDescent="0.3">
      <c r="A394" s="2" t="s">
        <v>30</v>
      </c>
      <c r="B394" s="2" t="s">
        <v>561</v>
      </c>
      <c r="C394" s="2" t="s">
        <v>794</v>
      </c>
      <c r="D394" s="2">
        <v>50</v>
      </c>
      <c r="E394" s="2" t="s">
        <v>232</v>
      </c>
      <c r="F394" s="2" t="s">
        <v>237</v>
      </c>
      <c r="G394" s="2" t="s">
        <v>241</v>
      </c>
      <c r="H394" s="2" t="s">
        <v>246</v>
      </c>
      <c r="I394" s="2">
        <v>22</v>
      </c>
      <c r="J394" s="2" t="s">
        <v>255</v>
      </c>
      <c r="K394" s="2" t="s">
        <v>308</v>
      </c>
      <c r="L394" s="2">
        <v>9</v>
      </c>
      <c r="M394" s="2" t="s">
        <v>249</v>
      </c>
      <c r="N394" s="2">
        <v>2</v>
      </c>
      <c r="O394" s="2" t="s">
        <v>314</v>
      </c>
      <c r="P394" s="2" t="s">
        <v>312</v>
      </c>
      <c r="Q394" s="2" t="s">
        <v>314</v>
      </c>
      <c r="R394" s="2" t="s">
        <v>311</v>
      </c>
      <c r="S394" s="2" t="s">
        <v>312</v>
      </c>
      <c r="T394" s="2" t="s">
        <v>314</v>
      </c>
      <c r="U394" s="2" t="s">
        <v>314</v>
      </c>
      <c r="V394" s="2" t="s">
        <v>315</v>
      </c>
      <c r="W394" s="2" t="s">
        <v>315</v>
      </c>
      <c r="X394" s="2" t="s">
        <v>318</v>
      </c>
      <c r="Y394" s="2" t="s">
        <v>315</v>
      </c>
      <c r="Z394" s="2" t="s">
        <v>314</v>
      </c>
      <c r="AA394" s="2" t="s">
        <v>316</v>
      </c>
      <c r="AB394" s="2" t="s">
        <v>324</v>
      </c>
      <c r="AC394" s="2" t="s">
        <v>1101</v>
      </c>
      <c r="AD394" s="2" t="s">
        <v>1105</v>
      </c>
    </row>
    <row r="395" spans="1:30" x14ac:dyDescent="0.3">
      <c r="A395" s="2" t="s">
        <v>30</v>
      </c>
      <c r="B395" s="2" t="s">
        <v>538</v>
      </c>
      <c r="C395" s="2" t="s">
        <v>725</v>
      </c>
      <c r="D395" s="2">
        <v>50</v>
      </c>
      <c r="E395" s="2" t="s">
        <v>232</v>
      </c>
      <c r="F395" s="2" t="s">
        <v>236</v>
      </c>
      <c r="G395" s="2" t="s">
        <v>239</v>
      </c>
      <c r="H395" s="2" t="s">
        <v>246</v>
      </c>
      <c r="I395" s="2">
        <v>19</v>
      </c>
      <c r="J395" s="2" t="s">
        <v>984</v>
      </c>
      <c r="K395" s="2" t="s">
        <v>309</v>
      </c>
      <c r="L395" s="2">
        <v>9</v>
      </c>
      <c r="M395" s="2" t="s">
        <v>241</v>
      </c>
      <c r="N395" s="2">
        <v>3</v>
      </c>
      <c r="O395" s="2" t="s">
        <v>311</v>
      </c>
      <c r="P395" s="2" t="s">
        <v>314</v>
      </c>
      <c r="Q395" s="2" t="s">
        <v>314</v>
      </c>
      <c r="R395" s="2" t="s">
        <v>312</v>
      </c>
      <c r="S395" s="2" t="s">
        <v>314</v>
      </c>
      <c r="T395" s="2" t="s">
        <v>313</v>
      </c>
      <c r="U395" s="2" t="s">
        <v>313</v>
      </c>
      <c r="V395" s="2" t="s">
        <v>315</v>
      </c>
      <c r="W395" s="2" t="s">
        <v>315</v>
      </c>
      <c r="X395" s="2" t="s">
        <v>318</v>
      </c>
      <c r="Y395" s="2" t="s">
        <v>316</v>
      </c>
      <c r="Z395" s="2" t="s">
        <v>314</v>
      </c>
      <c r="AA395" s="2" t="s">
        <v>316</v>
      </c>
      <c r="AB395" s="2" t="s">
        <v>326</v>
      </c>
      <c r="AC395" s="2" t="s">
        <v>1096</v>
      </c>
      <c r="AD395" s="2" t="s">
        <v>1105</v>
      </c>
    </row>
    <row r="396" spans="1:30" x14ac:dyDescent="0.3">
      <c r="A396" s="2" t="s">
        <v>30</v>
      </c>
      <c r="B396" s="2" t="s">
        <v>599</v>
      </c>
      <c r="C396" s="2" t="s">
        <v>950</v>
      </c>
      <c r="D396" s="2">
        <v>56</v>
      </c>
      <c r="E396" s="2" t="s">
        <v>232</v>
      </c>
      <c r="F396" s="2" t="s">
        <v>234</v>
      </c>
      <c r="G396" s="2" t="s">
        <v>243</v>
      </c>
      <c r="H396" s="2" t="s">
        <v>244</v>
      </c>
      <c r="I396" s="2">
        <v>27</v>
      </c>
      <c r="J396" s="2" t="s">
        <v>1063</v>
      </c>
      <c r="K396" s="2" t="s">
        <v>309</v>
      </c>
      <c r="L396" s="2">
        <v>1</v>
      </c>
      <c r="M396" s="2" t="s">
        <v>255</v>
      </c>
      <c r="N396" s="2">
        <v>1</v>
      </c>
      <c r="O396" s="2" t="s">
        <v>312</v>
      </c>
      <c r="P396" s="2" t="s">
        <v>313</v>
      </c>
      <c r="Q396" s="2" t="s">
        <v>314</v>
      </c>
      <c r="R396" s="2" t="s">
        <v>312</v>
      </c>
      <c r="S396" s="2" t="s">
        <v>314</v>
      </c>
      <c r="T396" s="2" t="s">
        <v>312</v>
      </c>
      <c r="U396" s="2" t="s">
        <v>312</v>
      </c>
      <c r="V396" s="2" t="s">
        <v>315</v>
      </c>
      <c r="W396" s="2" t="s">
        <v>315</v>
      </c>
      <c r="X396" s="2" t="s">
        <v>319</v>
      </c>
      <c r="Y396" s="2" t="s">
        <v>315</v>
      </c>
      <c r="Z396" s="2" t="s">
        <v>314</v>
      </c>
      <c r="AA396" s="2" t="s">
        <v>316</v>
      </c>
      <c r="AB396" s="2" t="s">
        <v>323</v>
      </c>
      <c r="AC396" s="2" t="s">
        <v>1101</v>
      </c>
      <c r="AD396" s="2" t="s">
        <v>1105</v>
      </c>
    </row>
    <row r="397" spans="1:30" x14ac:dyDescent="0.3">
      <c r="A397" s="2" t="s">
        <v>30</v>
      </c>
      <c r="B397" s="2" t="s">
        <v>565</v>
      </c>
      <c r="C397" s="2" t="s">
        <v>158</v>
      </c>
      <c r="D397" s="2">
        <v>56</v>
      </c>
      <c r="E397" s="2" t="s">
        <v>232</v>
      </c>
      <c r="F397" s="2" t="s">
        <v>236</v>
      </c>
      <c r="G397" s="2" t="s">
        <v>241</v>
      </c>
      <c r="H397" s="2" t="s">
        <v>245</v>
      </c>
      <c r="I397" s="2">
        <v>24</v>
      </c>
      <c r="J397" s="2" t="s">
        <v>275</v>
      </c>
      <c r="K397" s="2" t="s">
        <v>308</v>
      </c>
      <c r="L397" s="2">
        <v>2</v>
      </c>
      <c r="M397" s="2" t="s">
        <v>243</v>
      </c>
      <c r="N397" s="2">
        <v>1</v>
      </c>
      <c r="O397" s="2" t="s">
        <v>313</v>
      </c>
      <c r="P397" s="2" t="s">
        <v>312</v>
      </c>
      <c r="Q397" s="2" t="s">
        <v>311</v>
      </c>
      <c r="R397" s="2" t="s">
        <v>312</v>
      </c>
      <c r="S397" s="2" t="s">
        <v>311</v>
      </c>
      <c r="T397" s="2" t="s">
        <v>312</v>
      </c>
      <c r="U397" s="2" t="s">
        <v>312</v>
      </c>
      <c r="V397" s="2" t="s">
        <v>315</v>
      </c>
      <c r="W397" s="2" t="s">
        <v>315</v>
      </c>
      <c r="X397" s="2" t="s">
        <v>319</v>
      </c>
      <c r="Y397" s="2" t="s">
        <v>316</v>
      </c>
      <c r="Z397" s="2" t="s">
        <v>314</v>
      </c>
      <c r="AA397" s="2" t="s">
        <v>321</v>
      </c>
      <c r="AB397" s="2" t="s">
        <v>323</v>
      </c>
      <c r="AC397" s="2" t="s">
        <v>1099</v>
      </c>
      <c r="AD397" s="2" t="s">
        <v>1105</v>
      </c>
    </row>
    <row r="398" spans="1:30" x14ac:dyDescent="0.3">
      <c r="A398" s="2" t="s">
        <v>30</v>
      </c>
      <c r="B398" s="2" t="s">
        <v>578</v>
      </c>
      <c r="C398" s="2" t="s">
        <v>205</v>
      </c>
      <c r="D398" s="2">
        <v>59</v>
      </c>
      <c r="E398" s="2" t="s">
        <v>232</v>
      </c>
      <c r="F398" s="2" t="s">
        <v>233</v>
      </c>
      <c r="G398" s="2" t="s">
        <v>242</v>
      </c>
      <c r="H398" s="2" t="s">
        <v>244</v>
      </c>
      <c r="I398" s="2">
        <v>6</v>
      </c>
      <c r="J398" s="2" t="s">
        <v>1074</v>
      </c>
      <c r="K398" s="2" t="s">
        <v>310</v>
      </c>
      <c r="L398" s="2">
        <v>12</v>
      </c>
      <c r="M398" s="2" t="s">
        <v>243</v>
      </c>
      <c r="N398" s="2">
        <v>0</v>
      </c>
      <c r="O398" s="2" t="s">
        <v>312</v>
      </c>
      <c r="P398" s="2" t="s">
        <v>314</v>
      </c>
      <c r="Q398" s="2" t="s">
        <v>313</v>
      </c>
      <c r="R398" s="2" t="s">
        <v>312</v>
      </c>
      <c r="S398" s="2" t="s">
        <v>311</v>
      </c>
      <c r="T398" s="2" t="s">
        <v>312</v>
      </c>
      <c r="U398" s="2" t="s">
        <v>312</v>
      </c>
      <c r="V398" s="2" t="s">
        <v>315</v>
      </c>
      <c r="W398" s="2" t="s">
        <v>315</v>
      </c>
      <c r="X398" s="2" t="s">
        <v>319</v>
      </c>
      <c r="Y398" s="2" t="s">
        <v>316</v>
      </c>
      <c r="Z398" s="2" t="s">
        <v>314</v>
      </c>
      <c r="AA398" s="2" t="s">
        <v>1095</v>
      </c>
      <c r="AB398" s="2" t="s">
        <v>326</v>
      </c>
      <c r="AC398" s="2" t="s">
        <v>1098</v>
      </c>
      <c r="AD398" s="2" t="s">
        <v>1105</v>
      </c>
    </row>
    <row r="399" spans="1:30" x14ac:dyDescent="0.3">
      <c r="A399" s="2" t="s">
        <v>30</v>
      </c>
      <c r="B399" s="2" t="s">
        <v>573</v>
      </c>
      <c r="C399" s="2" t="s">
        <v>823</v>
      </c>
      <c r="D399" s="2">
        <v>59</v>
      </c>
      <c r="E399" s="2" t="s">
        <v>232</v>
      </c>
      <c r="F399" s="2" t="s">
        <v>233</v>
      </c>
      <c r="G399" s="2" t="s">
        <v>242</v>
      </c>
      <c r="H399" s="2" t="s">
        <v>244</v>
      </c>
      <c r="I399" s="2">
        <v>16</v>
      </c>
      <c r="J399" s="2" t="s">
        <v>1079</v>
      </c>
      <c r="K399" s="2" t="s">
        <v>309</v>
      </c>
      <c r="L399" s="2">
        <v>4</v>
      </c>
      <c r="M399" s="2" t="s">
        <v>251</v>
      </c>
      <c r="N399" s="2">
        <v>3</v>
      </c>
      <c r="O399" s="2" t="s">
        <v>312</v>
      </c>
      <c r="P399" s="2" t="s">
        <v>311</v>
      </c>
      <c r="Q399" s="2" t="s">
        <v>311</v>
      </c>
      <c r="R399" s="2" t="s">
        <v>312</v>
      </c>
      <c r="S399" s="2" t="s">
        <v>313</v>
      </c>
      <c r="T399" s="2" t="s">
        <v>312</v>
      </c>
      <c r="U399" s="2" t="s">
        <v>312</v>
      </c>
      <c r="V399" s="2" t="s">
        <v>315</v>
      </c>
      <c r="W399" s="2" t="s">
        <v>315</v>
      </c>
      <c r="X399" s="2" t="s">
        <v>319</v>
      </c>
      <c r="Y399" s="2" t="s">
        <v>316</v>
      </c>
      <c r="Z399" s="2" t="s">
        <v>314</v>
      </c>
      <c r="AA399" s="2" t="s">
        <v>316</v>
      </c>
      <c r="AB399" s="2" t="s">
        <v>324</v>
      </c>
      <c r="AC399" s="2" t="s">
        <v>1100</v>
      </c>
      <c r="AD399" s="2" t="s">
        <v>1105</v>
      </c>
    </row>
    <row r="400" spans="1:30" x14ac:dyDescent="0.3">
      <c r="A400" s="2" t="s">
        <v>30</v>
      </c>
      <c r="B400" s="2" t="s">
        <v>542</v>
      </c>
      <c r="C400" s="2" t="s">
        <v>738</v>
      </c>
      <c r="D400" s="2">
        <v>59</v>
      </c>
      <c r="E400" s="2" t="s">
        <v>232</v>
      </c>
      <c r="F400" s="2" t="s">
        <v>235</v>
      </c>
      <c r="G400" s="2" t="s">
        <v>238</v>
      </c>
      <c r="H400" s="2" t="s">
        <v>244</v>
      </c>
      <c r="I400" s="2">
        <v>16</v>
      </c>
      <c r="J400" s="2" t="s">
        <v>1081</v>
      </c>
      <c r="K400" s="2" t="s">
        <v>310</v>
      </c>
      <c r="L400" s="2">
        <v>5</v>
      </c>
      <c r="M400" s="2" t="s">
        <v>241</v>
      </c>
      <c r="N400" s="2">
        <v>3</v>
      </c>
      <c r="O400" s="2" t="s">
        <v>312</v>
      </c>
      <c r="P400" s="2" t="s">
        <v>314</v>
      </c>
      <c r="Q400" s="2" t="s">
        <v>313</v>
      </c>
      <c r="R400" s="2" t="s">
        <v>313</v>
      </c>
      <c r="S400" s="2" t="s">
        <v>312</v>
      </c>
      <c r="T400" s="2" t="s">
        <v>313</v>
      </c>
      <c r="U400" s="2" t="s">
        <v>313</v>
      </c>
      <c r="V400" s="2" t="s">
        <v>315</v>
      </c>
      <c r="W400" s="2" t="s">
        <v>315</v>
      </c>
      <c r="X400" s="2" t="s">
        <v>320</v>
      </c>
      <c r="Y400" s="2" t="s">
        <v>316</v>
      </c>
      <c r="Z400" s="2" t="s">
        <v>314</v>
      </c>
      <c r="AA400" s="2" t="s">
        <v>1095</v>
      </c>
      <c r="AB400" s="2" t="s">
        <v>326</v>
      </c>
      <c r="AC400" s="2" t="s">
        <v>1101</v>
      </c>
      <c r="AD400" s="2" t="s">
        <v>1105</v>
      </c>
    </row>
    <row r="401" spans="1:30" x14ac:dyDescent="0.3">
      <c r="A401" s="2" t="s">
        <v>30</v>
      </c>
      <c r="B401" s="2" t="s">
        <v>581</v>
      </c>
      <c r="C401" s="2" t="s">
        <v>882</v>
      </c>
      <c r="D401" s="2">
        <v>60</v>
      </c>
      <c r="E401" s="2" t="s">
        <v>232</v>
      </c>
      <c r="F401" s="2" t="s">
        <v>233</v>
      </c>
      <c r="G401" s="2" t="s">
        <v>240</v>
      </c>
      <c r="H401" s="2" t="s">
        <v>244</v>
      </c>
      <c r="I401" s="2">
        <v>30</v>
      </c>
      <c r="J401" s="2" t="s">
        <v>1082</v>
      </c>
      <c r="K401" s="2" t="s">
        <v>309</v>
      </c>
      <c r="L401" s="2">
        <v>19</v>
      </c>
      <c r="M401" s="2" t="s">
        <v>275</v>
      </c>
      <c r="N401" s="2">
        <v>3</v>
      </c>
      <c r="O401" s="2" t="s">
        <v>314</v>
      </c>
      <c r="P401" s="2" t="s">
        <v>313</v>
      </c>
      <c r="Q401" s="2" t="s">
        <v>313</v>
      </c>
      <c r="R401" s="2" t="s">
        <v>313</v>
      </c>
      <c r="S401" s="2" t="s">
        <v>312</v>
      </c>
      <c r="T401" s="2" t="s">
        <v>311</v>
      </c>
      <c r="U401" s="2" t="s">
        <v>311</v>
      </c>
      <c r="V401" s="2" t="s">
        <v>315</v>
      </c>
      <c r="W401" s="2" t="s">
        <v>315</v>
      </c>
      <c r="X401" s="2" t="s">
        <v>318</v>
      </c>
      <c r="Y401" s="2" t="s">
        <v>315</v>
      </c>
      <c r="Z401" s="2" t="s">
        <v>314</v>
      </c>
      <c r="AA401" s="2" t="s">
        <v>1095</v>
      </c>
      <c r="AB401" s="2" t="s">
        <v>326</v>
      </c>
      <c r="AC401" s="2" t="s">
        <v>1102</v>
      </c>
      <c r="AD401" s="2" t="s">
        <v>1105</v>
      </c>
    </row>
  </sheetData>
  <autoFilter ref="A1:AD401" xr:uid="{00000000-0001-0000-0000-000000000000}">
    <filterColumn colId="4">
      <filters>
        <filter val="Female"/>
      </filters>
    </filterColumn>
    <sortState xmlns:xlrd2="http://schemas.microsoft.com/office/spreadsheetml/2017/richdata2" ref="A2:AD401">
      <sortCondition ref="W1:W401"/>
    </sortState>
  </autoFilter>
  <sortState xmlns:xlrd2="http://schemas.microsoft.com/office/spreadsheetml/2017/richdata2" ref="C2:C401">
    <sortCondition ref="C2:C401"/>
  </sortState>
  <conditionalFormatting sqref="C1:C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59E1-6698-419B-9E72-FAE6132BBD6F}">
  <dimension ref="A1:M402"/>
  <sheetViews>
    <sheetView workbookViewId="0">
      <selection sqref="A1:A1048576"/>
    </sheetView>
  </sheetViews>
  <sheetFormatPr defaultRowHeight="14.4" outlineLevelCol="1" x14ac:dyDescent="0.3"/>
  <cols>
    <col min="1" max="1" width="24.33203125" bestFit="1" customWidth="1"/>
    <col min="2" max="2" width="21.77734375" bestFit="1" customWidth="1"/>
    <col min="3" max="3" width="72.109375" hidden="1" customWidth="1" outlineLevel="1"/>
    <col min="4" max="5" width="8.88671875" hidden="1" customWidth="1" outlineLevel="1"/>
    <col min="6" max="6" width="13.109375" customWidth="1" collapsed="1"/>
    <col min="7" max="7" width="25.88671875" bestFit="1" customWidth="1"/>
    <col min="8" max="8" width="26.21875" bestFit="1" customWidth="1"/>
    <col min="9" max="10" width="14.77734375" bestFit="1" customWidth="1"/>
    <col min="11" max="11" width="14" bestFit="1" customWidth="1"/>
    <col min="12" max="12" width="16" bestFit="1" customWidth="1"/>
    <col min="13" max="13" width="14.88671875" bestFit="1" customWidth="1"/>
  </cols>
  <sheetData>
    <row r="1" spans="1:13" x14ac:dyDescent="0.3">
      <c r="A1" s="3" t="s">
        <v>2</v>
      </c>
      <c r="B1" s="3" t="s">
        <v>1</v>
      </c>
      <c r="C1" s="3" t="s">
        <v>9</v>
      </c>
      <c r="D1" s="7"/>
      <c r="E1" s="7"/>
      <c r="F1" s="7"/>
      <c r="G1" s="7" t="s">
        <v>1123</v>
      </c>
      <c r="H1" s="7" t="s">
        <v>1125</v>
      </c>
      <c r="I1" s="7" t="s">
        <v>1124</v>
      </c>
      <c r="J1" s="7" t="s">
        <v>1126</v>
      </c>
      <c r="K1" s="7" t="s">
        <v>1127</v>
      </c>
      <c r="L1" s="7" t="s">
        <v>1128</v>
      </c>
      <c r="M1" s="7" t="s">
        <v>1122</v>
      </c>
    </row>
    <row r="2" spans="1:13" x14ac:dyDescent="0.3">
      <c r="A2" s="2" t="s">
        <v>839</v>
      </c>
      <c r="B2" s="2" t="s">
        <v>31</v>
      </c>
      <c r="C2" s="2" t="s">
        <v>241</v>
      </c>
      <c r="D2" s="2" t="s">
        <v>1115</v>
      </c>
      <c r="E2" s="2" t="s">
        <v>1116</v>
      </c>
      <c r="F2" s="2"/>
      <c r="G2" s="2">
        <f>IF(COUNTIF(C2:F2,"Community Activities")&gt;0,1,0)</f>
        <v>0</v>
      </c>
      <c r="H2" s="2">
        <f>IF(COUNTIF(C2:F2," Employment Assistance")&gt;0,1,0)</f>
        <v>1</v>
      </c>
      <c r="I2" s="2">
        <f>IF(COUNTIF(C2:F2,"Housing")&gt;0,1,0)</f>
        <v>0</v>
      </c>
      <c r="J2" s="2">
        <f>IF(COUNTIF(C2:F2,"Medical")&gt;0,1,0)</f>
        <v>1</v>
      </c>
      <c r="K2" s="2">
        <f>IF(COUNTIF(C2:F2," Schooling")&gt;0,1,0)</f>
        <v>1</v>
      </c>
      <c r="L2" s="2">
        <f>IF(COUNTIF(C2:F2,"Transport")&gt;0,1,0)</f>
        <v>0</v>
      </c>
      <c r="M2" s="2">
        <f>IF(COUNTIF(C2:F2,"Canteen")&gt;0,1,0)</f>
        <v>0</v>
      </c>
    </row>
    <row r="3" spans="1:13" x14ac:dyDescent="0.3">
      <c r="A3" s="2" t="s">
        <v>686</v>
      </c>
      <c r="B3" s="2" t="s">
        <v>32</v>
      </c>
      <c r="C3" s="2" t="s">
        <v>241</v>
      </c>
      <c r="D3" s="2" t="s">
        <v>1117</v>
      </c>
      <c r="E3" s="2"/>
      <c r="F3" s="2"/>
      <c r="G3" s="2">
        <f t="shared" ref="G3:G66" si="0">IF(COUNTIF(C3:F3,"Community Activities")&gt;0,1,0)</f>
        <v>0</v>
      </c>
      <c r="H3" s="2">
        <f t="shared" ref="H3:H66" si="1">IF(COUNTIF(C3:F3," Employment Assistance")&gt;0,1,0)</f>
        <v>0</v>
      </c>
      <c r="I3" s="2">
        <f t="shared" ref="I3:I66" si="2">IF(COUNTIF(C3:F3,"Housing")&gt;0,1,0)</f>
        <v>0</v>
      </c>
      <c r="J3" s="2">
        <f t="shared" ref="J3:J66" si="3">IF(COUNTIF(C3:F3,"Medical")&gt;0,1,0)</f>
        <v>1</v>
      </c>
      <c r="K3" s="2">
        <f t="shared" ref="K3:K66" si="4">IF(COUNTIF(C3:F3," Schooling")&gt;0,1,0)</f>
        <v>0</v>
      </c>
      <c r="L3" s="2">
        <f t="shared" ref="L3:L66" si="5">IF(COUNTIF(C3:F3,"Transport")&gt;0,1,0)</f>
        <v>0</v>
      </c>
      <c r="M3" s="2">
        <f t="shared" ref="M3:M66" si="6">IF(COUNTIF(C3:F3,"Canteen")&gt;0,1,0)</f>
        <v>0</v>
      </c>
    </row>
    <row r="4" spans="1:13" x14ac:dyDescent="0.3">
      <c r="A4" s="2" t="s">
        <v>744</v>
      </c>
      <c r="B4" s="2" t="s">
        <v>33</v>
      </c>
      <c r="C4" s="2" t="s">
        <v>249</v>
      </c>
      <c r="D4" s="2"/>
      <c r="E4" s="2"/>
      <c r="F4" s="2"/>
      <c r="G4" s="2">
        <f t="shared" si="0"/>
        <v>0</v>
      </c>
      <c r="H4" s="2">
        <f t="shared" si="1"/>
        <v>0</v>
      </c>
      <c r="I4" s="2">
        <f t="shared" si="2"/>
        <v>0</v>
      </c>
      <c r="J4" s="2">
        <f t="shared" si="3"/>
        <v>0</v>
      </c>
      <c r="K4" s="2">
        <f t="shared" si="4"/>
        <v>0</v>
      </c>
      <c r="L4" s="2">
        <f t="shared" si="5"/>
        <v>0</v>
      </c>
      <c r="M4" s="2">
        <f t="shared" si="6"/>
        <v>0</v>
      </c>
    </row>
    <row r="5" spans="1:13" x14ac:dyDescent="0.3">
      <c r="A5" s="2" t="s">
        <v>177</v>
      </c>
      <c r="B5" s="2" t="s">
        <v>34</v>
      </c>
      <c r="C5" s="2" t="s">
        <v>243</v>
      </c>
      <c r="D5" s="2"/>
      <c r="E5" s="2"/>
      <c r="F5" s="2"/>
      <c r="G5" s="2">
        <f t="shared" si="0"/>
        <v>0</v>
      </c>
      <c r="H5" s="2">
        <f t="shared" si="1"/>
        <v>0</v>
      </c>
      <c r="I5" s="2">
        <f t="shared" si="2"/>
        <v>0</v>
      </c>
      <c r="J5" s="2">
        <f t="shared" si="3"/>
        <v>0</v>
      </c>
      <c r="K5" s="2">
        <f t="shared" si="4"/>
        <v>0</v>
      </c>
      <c r="L5" s="2">
        <f t="shared" si="5"/>
        <v>1</v>
      </c>
      <c r="M5" s="2">
        <f t="shared" si="6"/>
        <v>0</v>
      </c>
    </row>
    <row r="6" spans="1:13" x14ac:dyDescent="0.3">
      <c r="A6" s="2" t="s">
        <v>719</v>
      </c>
      <c r="B6" s="2" t="s">
        <v>35</v>
      </c>
      <c r="C6" s="2" t="s">
        <v>249</v>
      </c>
      <c r="D6" s="2" t="s">
        <v>1118</v>
      </c>
      <c r="E6" s="2" t="s">
        <v>1116</v>
      </c>
      <c r="F6" s="2"/>
      <c r="G6" s="2">
        <f t="shared" si="0"/>
        <v>0</v>
      </c>
      <c r="H6" s="2">
        <f t="shared" si="1"/>
        <v>0</v>
      </c>
      <c r="I6" s="2">
        <f t="shared" si="2"/>
        <v>0</v>
      </c>
      <c r="J6" s="2">
        <f t="shared" si="3"/>
        <v>0</v>
      </c>
      <c r="K6" s="2">
        <f t="shared" si="4"/>
        <v>1</v>
      </c>
      <c r="L6" s="2">
        <f t="shared" si="5"/>
        <v>0</v>
      </c>
      <c r="M6" s="2">
        <f t="shared" si="6"/>
        <v>0</v>
      </c>
    </row>
    <row r="7" spans="1:13" x14ac:dyDescent="0.3">
      <c r="A7" s="2" t="s">
        <v>716</v>
      </c>
      <c r="B7" s="2" t="s">
        <v>36</v>
      </c>
      <c r="C7" s="2" t="s">
        <v>251</v>
      </c>
      <c r="D7" s="2"/>
      <c r="E7" s="2"/>
      <c r="F7" s="2"/>
      <c r="G7" s="2">
        <f t="shared" si="0"/>
        <v>0</v>
      </c>
      <c r="H7" s="2">
        <f t="shared" si="1"/>
        <v>0</v>
      </c>
      <c r="I7" s="2">
        <f t="shared" si="2"/>
        <v>1</v>
      </c>
      <c r="J7" s="2">
        <f t="shared" si="3"/>
        <v>0</v>
      </c>
      <c r="K7" s="2">
        <f t="shared" si="4"/>
        <v>0</v>
      </c>
      <c r="L7" s="2">
        <f t="shared" si="5"/>
        <v>0</v>
      </c>
      <c r="M7" s="2">
        <f t="shared" si="6"/>
        <v>0</v>
      </c>
    </row>
    <row r="8" spans="1:13" x14ac:dyDescent="0.3">
      <c r="A8" s="2" t="s">
        <v>936</v>
      </c>
      <c r="B8" s="2" t="s">
        <v>37</v>
      </c>
      <c r="C8" s="2" t="s">
        <v>251</v>
      </c>
      <c r="D8" s="2" t="s">
        <v>1118</v>
      </c>
      <c r="E8" s="2" t="s">
        <v>1115</v>
      </c>
      <c r="F8" s="2"/>
      <c r="G8" s="2">
        <f t="shared" si="0"/>
        <v>0</v>
      </c>
      <c r="H8" s="2">
        <f t="shared" si="1"/>
        <v>1</v>
      </c>
      <c r="I8" s="2">
        <f t="shared" si="2"/>
        <v>1</v>
      </c>
      <c r="J8" s="2">
        <f t="shared" si="3"/>
        <v>0</v>
      </c>
      <c r="K8" s="2">
        <f t="shared" si="4"/>
        <v>0</v>
      </c>
      <c r="L8" s="2">
        <f t="shared" si="5"/>
        <v>0</v>
      </c>
      <c r="M8" s="2">
        <f t="shared" si="6"/>
        <v>0</v>
      </c>
    </row>
    <row r="9" spans="1:13" x14ac:dyDescent="0.3">
      <c r="A9" s="2" t="s">
        <v>154</v>
      </c>
      <c r="B9" s="2" t="s">
        <v>38</v>
      </c>
      <c r="C9" s="2" t="s">
        <v>255</v>
      </c>
      <c r="D9" s="2" t="s">
        <v>1115</v>
      </c>
      <c r="E9" s="2"/>
      <c r="F9" s="2"/>
      <c r="G9" s="2">
        <f t="shared" si="0"/>
        <v>1</v>
      </c>
      <c r="H9" s="2">
        <f t="shared" si="1"/>
        <v>1</v>
      </c>
      <c r="I9" s="2">
        <f t="shared" si="2"/>
        <v>0</v>
      </c>
      <c r="J9" s="2">
        <f t="shared" si="3"/>
        <v>0</v>
      </c>
      <c r="K9" s="2">
        <f t="shared" si="4"/>
        <v>0</v>
      </c>
      <c r="L9" s="2">
        <f t="shared" si="5"/>
        <v>0</v>
      </c>
      <c r="M9" s="2">
        <f t="shared" si="6"/>
        <v>0</v>
      </c>
    </row>
    <row r="10" spans="1:13" x14ac:dyDescent="0.3">
      <c r="A10" s="2" t="s">
        <v>170</v>
      </c>
      <c r="B10" s="2" t="s">
        <v>39</v>
      </c>
      <c r="C10" s="2" t="s">
        <v>241</v>
      </c>
      <c r="D10" s="2"/>
      <c r="E10" s="2"/>
      <c r="F10" s="2"/>
      <c r="G10" s="2">
        <f t="shared" si="0"/>
        <v>0</v>
      </c>
      <c r="H10" s="2">
        <f t="shared" si="1"/>
        <v>0</v>
      </c>
      <c r="I10" s="2">
        <f t="shared" si="2"/>
        <v>0</v>
      </c>
      <c r="J10" s="2">
        <f t="shared" si="3"/>
        <v>1</v>
      </c>
      <c r="K10" s="2">
        <f t="shared" si="4"/>
        <v>0</v>
      </c>
      <c r="L10" s="2">
        <f t="shared" si="5"/>
        <v>0</v>
      </c>
      <c r="M10" s="2">
        <f t="shared" si="6"/>
        <v>0</v>
      </c>
    </row>
    <row r="11" spans="1:13" x14ac:dyDescent="0.3">
      <c r="A11" s="2" t="s">
        <v>663</v>
      </c>
      <c r="B11" s="2" t="s">
        <v>40</v>
      </c>
      <c r="C11" s="2" t="s">
        <v>249</v>
      </c>
      <c r="D11" s="2"/>
      <c r="E11" s="2"/>
      <c r="F11" s="2"/>
      <c r="G11" s="2">
        <f t="shared" si="0"/>
        <v>0</v>
      </c>
      <c r="H11" s="2">
        <f t="shared" si="1"/>
        <v>0</v>
      </c>
      <c r="I11" s="2">
        <f t="shared" si="2"/>
        <v>0</v>
      </c>
      <c r="J11" s="2">
        <f t="shared" si="3"/>
        <v>0</v>
      </c>
      <c r="K11" s="2">
        <f t="shared" si="4"/>
        <v>0</v>
      </c>
      <c r="L11" s="2">
        <f t="shared" si="5"/>
        <v>0</v>
      </c>
      <c r="M11" s="2">
        <f t="shared" si="6"/>
        <v>0</v>
      </c>
    </row>
    <row r="12" spans="1:13" x14ac:dyDescent="0.3">
      <c r="A12" s="2" t="s">
        <v>897</v>
      </c>
      <c r="B12" s="2" t="s">
        <v>41</v>
      </c>
      <c r="C12" s="2" t="s">
        <v>249</v>
      </c>
      <c r="D12" s="2"/>
      <c r="E12" s="2"/>
      <c r="F12" s="2"/>
      <c r="G12" s="2">
        <f t="shared" si="0"/>
        <v>0</v>
      </c>
      <c r="H12" s="2">
        <f t="shared" si="1"/>
        <v>0</v>
      </c>
      <c r="I12" s="2">
        <f t="shared" si="2"/>
        <v>0</v>
      </c>
      <c r="J12" s="2">
        <f t="shared" si="3"/>
        <v>0</v>
      </c>
      <c r="K12" s="2">
        <f t="shared" si="4"/>
        <v>0</v>
      </c>
      <c r="L12" s="2">
        <f t="shared" si="5"/>
        <v>0</v>
      </c>
      <c r="M12" s="2">
        <f t="shared" si="6"/>
        <v>0</v>
      </c>
    </row>
    <row r="13" spans="1:13" x14ac:dyDescent="0.3">
      <c r="A13" s="2" t="s">
        <v>148</v>
      </c>
      <c r="B13" s="2" t="s">
        <v>42</v>
      </c>
      <c r="C13" s="2" t="s">
        <v>249</v>
      </c>
      <c r="D13" s="2"/>
      <c r="E13" s="2"/>
      <c r="F13" s="2"/>
      <c r="G13" s="2">
        <f t="shared" si="0"/>
        <v>0</v>
      </c>
      <c r="H13" s="2">
        <f t="shared" si="1"/>
        <v>0</v>
      </c>
      <c r="I13" s="2">
        <f t="shared" si="2"/>
        <v>0</v>
      </c>
      <c r="J13" s="2">
        <f t="shared" si="3"/>
        <v>0</v>
      </c>
      <c r="K13" s="2">
        <f t="shared" si="4"/>
        <v>0</v>
      </c>
      <c r="L13" s="2">
        <f t="shared" si="5"/>
        <v>0</v>
      </c>
      <c r="M13" s="2">
        <f t="shared" si="6"/>
        <v>0</v>
      </c>
    </row>
    <row r="14" spans="1:13" x14ac:dyDescent="0.3">
      <c r="A14" s="2" t="s">
        <v>757</v>
      </c>
      <c r="B14" s="2" t="s">
        <v>43</v>
      </c>
      <c r="C14" s="2" t="s">
        <v>243</v>
      </c>
      <c r="D14" s="2" t="s">
        <v>1119</v>
      </c>
      <c r="E14" s="2" t="s">
        <v>1120</v>
      </c>
      <c r="F14" s="2"/>
      <c r="G14" s="2">
        <f t="shared" si="0"/>
        <v>0</v>
      </c>
      <c r="H14" s="2">
        <f t="shared" si="1"/>
        <v>0</v>
      </c>
      <c r="I14" s="2">
        <f t="shared" si="2"/>
        <v>0</v>
      </c>
      <c r="J14" s="2">
        <f t="shared" si="3"/>
        <v>0</v>
      </c>
      <c r="K14" s="2">
        <f t="shared" si="4"/>
        <v>0</v>
      </c>
      <c r="L14" s="2">
        <f t="shared" si="5"/>
        <v>1</v>
      </c>
      <c r="M14" s="2">
        <f t="shared" si="6"/>
        <v>0</v>
      </c>
    </row>
    <row r="15" spans="1:13" x14ac:dyDescent="0.3">
      <c r="A15" s="2" t="s">
        <v>888</v>
      </c>
      <c r="B15" s="2" t="s">
        <v>44</v>
      </c>
      <c r="C15" s="2" t="s">
        <v>255</v>
      </c>
      <c r="D15" s="2"/>
      <c r="E15" s="2"/>
      <c r="F15" s="2"/>
      <c r="G15" s="2">
        <f t="shared" si="0"/>
        <v>1</v>
      </c>
      <c r="H15" s="2">
        <f t="shared" si="1"/>
        <v>0</v>
      </c>
      <c r="I15" s="2">
        <f t="shared" si="2"/>
        <v>0</v>
      </c>
      <c r="J15" s="2">
        <f t="shared" si="3"/>
        <v>0</v>
      </c>
      <c r="K15" s="2">
        <f t="shared" si="4"/>
        <v>0</v>
      </c>
      <c r="L15" s="2">
        <f t="shared" si="5"/>
        <v>0</v>
      </c>
      <c r="M15" s="2">
        <f t="shared" si="6"/>
        <v>0</v>
      </c>
    </row>
    <row r="16" spans="1:13" x14ac:dyDescent="0.3">
      <c r="A16" s="2" t="s">
        <v>894</v>
      </c>
      <c r="B16" s="2" t="s">
        <v>45</v>
      </c>
      <c r="C16" s="2" t="s">
        <v>243</v>
      </c>
      <c r="D16" s="2" t="s">
        <v>1118</v>
      </c>
      <c r="E16" s="2"/>
      <c r="F16" s="2"/>
      <c r="G16" s="2">
        <f t="shared" si="0"/>
        <v>0</v>
      </c>
      <c r="H16" s="2">
        <f t="shared" si="1"/>
        <v>0</v>
      </c>
      <c r="I16" s="2">
        <f t="shared" si="2"/>
        <v>0</v>
      </c>
      <c r="J16" s="2">
        <f t="shared" si="3"/>
        <v>0</v>
      </c>
      <c r="K16" s="2">
        <f t="shared" si="4"/>
        <v>0</v>
      </c>
      <c r="L16" s="2">
        <f t="shared" si="5"/>
        <v>1</v>
      </c>
      <c r="M16" s="2">
        <f t="shared" si="6"/>
        <v>0</v>
      </c>
    </row>
    <row r="17" spans="1:13" x14ac:dyDescent="0.3">
      <c r="A17" s="2" t="s">
        <v>816</v>
      </c>
      <c r="B17" s="2" t="s">
        <v>46</v>
      </c>
      <c r="C17" s="2" t="s">
        <v>255</v>
      </c>
      <c r="D17" s="2" t="s">
        <v>1116</v>
      </c>
      <c r="E17" s="2" t="s">
        <v>1119</v>
      </c>
      <c r="F17" s="2"/>
      <c r="G17" s="2">
        <f t="shared" si="0"/>
        <v>1</v>
      </c>
      <c r="H17" s="2">
        <f t="shared" si="1"/>
        <v>0</v>
      </c>
      <c r="I17" s="2">
        <f t="shared" si="2"/>
        <v>0</v>
      </c>
      <c r="J17" s="2">
        <f t="shared" si="3"/>
        <v>0</v>
      </c>
      <c r="K17" s="2">
        <f t="shared" si="4"/>
        <v>1</v>
      </c>
      <c r="L17" s="2">
        <f t="shared" si="5"/>
        <v>0</v>
      </c>
      <c r="M17" s="2">
        <f t="shared" si="6"/>
        <v>0</v>
      </c>
    </row>
    <row r="18" spans="1:13" x14ac:dyDescent="0.3">
      <c r="A18" s="2" t="s">
        <v>786</v>
      </c>
      <c r="B18" s="2" t="s">
        <v>47</v>
      </c>
      <c r="C18" s="2" t="s">
        <v>255</v>
      </c>
      <c r="D18" s="2" t="s">
        <v>1116</v>
      </c>
      <c r="E18" s="2"/>
      <c r="F18" s="2"/>
      <c r="G18" s="2">
        <f t="shared" si="0"/>
        <v>1</v>
      </c>
      <c r="H18" s="2">
        <f t="shared" si="1"/>
        <v>0</v>
      </c>
      <c r="I18" s="2">
        <f t="shared" si="2"/>
        <v>0</v>
      </c>
      <c r="J18" s="2">
        <f t="shared" si="3"/>
        <v>0</v>
      </c>
      <c r="K18" s="2">
        <f t="shared" si="4"/>
        <v>1</v>
      </c>
      <c r="L18" s="2">
        <f t="shared" si="5"/>
        <v>0</v>
      </c>
      <c r="M18" s="2">
        <f t="shared" si="6"/>
        <v>0</v>
      </c>
    </row>
    <row r="19" spans="1:13" x14ac:dyDescent="0.3">
      <c r="A19" s="2" t="s">
        <v>162</v>
      </c>
      <c r="B19" s="2" t="s">
        <v>48</v>
      </c>
      <c r="C19" s="2" t="s">
        <v>249</v>
      </c>
      <c r="D19" s="2" t="s">
        <v>1116</v>
      </c>
      <c r="E19" s="2"/>
      <c r="F19" s="2"/>
      <c r="G19" s="2">
        <f t="shared" si="0"/>
        <v>0</v>
      </c>
      <c r="H19" s="2">
        <f t="shared" si="1"/>
        <v>0</v>
      </c>
      <c r="I19" s="2">
        <f t="shared" si="2"/>
        <v>0</v>
      </c>
      <c r="J19" s="2">
        <f t="shared" si="3"/>
        <v>0</v>
      </c>
      <c r="K19" s="2">
        <f t="shared" si="4"/>
        <v>1</v>
      </c>
      <c r="L19" s="2">
        <f t="shared" si="5"/>
        <v>0</v>
      </c>
      <c r="M19" s="2">
        <f t="shared" si="6"/>
        <v>0</v>
      </c>
    </row>
    <row r="20" spans="1:13" x14ac:dyDescent="0.3">
      <c r="A20" s="2" t="s">
        <v>861</v>
      </c>
      <c r="B20" s="2" t="s">
        <v>49</v>
      </c>
      <c r="C20" s="2" t="s">
        <v>255</v>
      </c>
      <c r="D20" s="2" t="s">
        <v>1116</v>
      </c>
      <c r="E20" s="2"/>
      <c r="F20" s="2"/>
      <c r="G20" s="2">
        <f t="shared" si="0"/>
        <v>1</v>
      </c>
      <c r="H20" s="2">
        <f t="shared" si="1"/>
        <v>0</v>
      </c>
      <c r="I20" s="2">
        <f t="shared" si="2"/>
        <v>0</v>
      </c>
      <c r="J20" s="2">
        <f t="shared" si="3"/>
        <v>0</v>
      </c>
      <c r="K20" s="2">
        <f t="shared" si="4"/>
        <v>1</v>
      </c>
      <c r="L20" s="2">
        <f t="shared" si="5"/>
        <v>0</v>
      </c>
      <c r="M20" s="2">
        <f t="shared" si="6"/>
        <v>0</v>
      </c>
    </row>
    <row r="21" spans="1:13" x14ac:dyDescent="0.3">
      <c r="A21" s="2" t="s">
        <v>924</v>
      </c>
      <c r="B21" s="2" t="s">
        <v>50</v>
      </c>
      <c r="C21" s="2" t="s">
        <v>251</v>
      </c>
      <c r="D21" s="2" t="s">
        <v>1118</v>
      </c>
      <c r="E21" s="2" t="s">
        <v>1120</v>
      </c>
      <c r="F21" s="2"/>
      <c r="G21" s="2">
        <f t="shared" si="0"/>
        <v>0</v>
      </c>
      <c r="H21" s="2">
        <f t="shared" si="1"/>
        <v>0</v>
      </c>
      <c r="I21" s="2">
        <f t="shared" si="2"/>
        <v>1</v>
      </c>
      <c r="J21" s="2">
        <f t="shared" si="3"/>
        <v>0</v>
      </c>
      <c r="K21" s="2">
        <f t="shared" si="4"/>
        <v>0</v>
      </c>
      <c r="L21" s="2">
        <f t="shared" si="5"/>
        <v>0</v>
      </c>
      <c r="M21" s="2">
        <f t="shared" si="6"/>
        <v>0</v>
      </c>
    </row>
    <row r="22" spans="1:13" x14ac:dyDescent="0.3">
      <c r="A22" s="2" t="s">
        <v>734</v>
      </c>
      <c r="B22" s="2" t="s">
        <v>51</v>
      </c>
      <c r="C22" s="2" t="s">
        <v>249</v>
      </c>
      <c r="D22" s="2" t="s">
        <v>1121</v>
      </c>
      <c r="E22" s="2"/>
      <c r="F22" s="2"/>
      <c r="G22" s="2">
        <f t="shared" si="0"/>
        <v>0</v>
      </c>
      <c r="H22" s="2">
        <f t="shared" si="1"/>
        <v>0</v>
      </c>
      <c r="I22" s="2">
        <f t="shared" si="2"/>
        <v>0</v>
      </c>
      <c r="J22" s="2">
        <f t="shared" si="3"/>
        <v>0</v>
      </c>
      <c r="K22" s="2">
        <f t="shared" si="4"/>
        <v>0</v>
      </c>
      <c r="L22" s="2">
        <f t="shared" si="5"/>
        <v>0</v>
      </c>
      <c r="M22" s="2">
        <f t="shared" si="6"/>
        <v>0</v>
      </c>
    </row>
    <row r="23" spans="1:13" x14ac:dyDescent="0.3">
      <c r="A23" s="2" t="s">
        <v>199</v>
      </c>
      <c r="B23" s="2" t="s">
        <v>52</v>
      </c>
      <c r="C23" s="2" t="s">
        <v>262</v>
      </c>
      <c r="D23" s="2"/>
      <c r="E23" s="2"/>
      <c r="F23" s="2"/>
      <c r="G23" s="2">
        <f t="shared" si="0"/>
        <v>0</v>
      </c>
      <c r="H23" s="2">
        <f t="shared" si="1"/>
        <v>0</v>
      </c>
      <c r="I23" s="2">
        <f t="shared" si="2"/>
        <v>0</v>
      </c>
      <c r="J23" s="2">
        <f t="shared" si="3"/>
        <v>0</v>
      </c>
      <c r="K23" s="2">
        <f t="shared" si="4"/>
        <v>0</v>
      </c>
      <c r="L23" s="2">
        <f t="shared" si="5"/>
        <v>0</v>
      </c>
      <c r="M23" s="2">
        <f t="shared" si="6"/>
        <v>1</v>
      </c>
    </row>
    <row r="24" spans="1:13" x14ac:dyDescent="0.3">
      <c r="A24" s="2" t="s">
        <v>731</v>
      </c>
      <c r="B24" s="2" t="s">
        <v>53</v>
      </c>
      <c r="C24" s="2" t="s">
        <v>243</v>
      </c>
      <c r="D24" s="2"/>
      <c r="E24" s="2"/>
      <c r="F24" s="2"/>
      <c r="G24" s="2">
        <f t="shared" si="0"/>
        <v>0</v>
      </c>
      <c r="H24" s="2">
        <f t="shared" si="1"/>
        <v>0</v>
      </c>
      <c r="I24" s="2">
        <f t="shared" si="2"/>
        <v>0</v>
      </c>
      <c r="J24" s="2">
        <f t="shared" si="3"/>
        <v>0</v>
      </c>
      <c r="K24" s="2">
        <f t="shared" si="4"/>
        <v>0</v>
      </c>
      <c r="L24" s="2">
        <f t="shared" si="5"/>
        <v>1</v>
      </c>
      <c r="M24" s="2">
        <f t="shared" si="6"/>
        <v>0</v>
      </c>
    </row>
    <row r="25" spans="1:13" x14ac:dyDescent="0.3">
      <c r="A25" s="2" t="s">
        <v>691</v>
      </c>
      <c r="B25" s="2" t="s">
        <v>54</v>
      </c>
      <c r="C25" s="2" t="s">
        <v>251</v>
      </c>
      <c r="D25" s="2" t="s">
        <v>1120</v>
      </c>
      <c r="E25" s="2" t="s">
        <v>1121</v>
      </c>
      <c r="F25" s="2"/>
      <c r="G25" s="2">
        <f t="shared" si="0"/>
        <v>0</v>
      </c>
      <c r="H25" s="2">
        <f t="shared" si="1"/>
        <v>0</v>
      </c>
      <c r="I25" s="2">
        <f t="shared" si="2"/>
        <v>1</v>
      </c>
      <c r="J25" s="2">
        <f t="shared" si="3"/>
        <v>0</v>
      </c>
      <c r="K25" s="2">
        <f t="shared" si="4"/>
        <v>0</v>
      </c>
      <c r="L25" s="2">
        <f t="shared" si="5"/>
        <v>0</v>
      </c>
      <c r="M25" s="2">
        <f t="shared" si="6"/>
        <v>0</v>
      </c>
    </row>
    <row r="26" spans="1:13" x14ac:dyDescent="0.3">
      <c r="A26" s="2" t="s">
        <v>674</v>
      </c>
      <c r="B26" s="2" t="s">
        <v>55</v>
      </c>
      <c r="C26" s="2" t="s">
        <v>243</v>
      </c>
      <c r="D26" s="2" t="s">
        <v>1116</v>
      </c>
      <c r="E26" s="2"/>
      <c r="F26" s="2"/>
      <c r="G26" s="2">
        <f t="shared" si="0"/>
        <v>0</v>
      </c>
      <c r="H26" s="2">
        <f t="shared" si="1"/>
        <v>0</v>
      </c>
      <c r="I26" s="2">
        <f t="shared" si="2"/>
        <v>0</v>
      </c>
      <c r="J26" s="2">
        <f t="shared" si="3"/>
        <v>0</v>
      </c>
      <c r="K26" s="2">
        <f t="shared" si="4"/>
        <v>1</v>
      </c>
      <c r="L26" s="2">
        <f t="shared" si="5"/>
        <v>1</v>
      </c>
      <c r="M26" s="2">
        <f t="shared" si="6"/>
        <v>0</v>
      </c>
    </row>
    <row r="27" spans="1:13" x14ac:dyDescent="0.3">
      <c r="A27" s="2" t="s">
        <v>212</v>
      </c>
      <c r="B27" s="2" t="s">
        <v>56</v>
      </c>
      <c r="C27" s="2" t="s">
        <v>262</v>
      </c>
      <c r="D27" s="2" t="s">
        <v>1115</v>
      </c>
      <c r="E27" s="2"/>
      <c r="F27" s="2"/>
      <c r="G27" s="2">
        <f t="shared" si="0"/>
        <v>0</v>
      </c>
      <c r="H27" s="2">
        <f t="shared" si="1"/>
        <v>1</v>
      </c>
      <c r="I27" s="2">
        <f t="shared" si="2"/>
        <v>0</v>
      </c>
      <c r="J27" s="2">
        <f t="shared" si="3"/>
        <v>0</v>
      </c>
      <c r="K27" s="2">
        <f t="shared" si="4"/>
        <v>0</v>
      </c>
      <c r="L27" s="2">
        <f t="shared" si="5"/>
        <v>0</v>
      </c>
      <c r="M27" s="2">
        <f t="shared" si="6"/>
        <v>1</v>
      </c>
    </row>
    <row r="28" spans="1:13" x14ac:dyDescent="0.3">
      <c r="A28" s="2" t="s">
        <v>708</v>
      </c>
      <c r="B28" s="2" t="s">
        <v>57</v>
      </c>
      <c r="C28" s="2" t="s">
        <v>249</v>
      </c>
      <c r="D28" s="2"/>
      <c r="E28" s="2"/>
      <c r="F28" s="2"/>
      <c r="G28" s="2">
        <f t="shared" si="0"/>
        <v>0</v>
      </c>
      <c r="H28" s="2">
        <f t="shared" si="1"/>
        <v>0</v>
      </c>
      <c r="I28" s="2">
        <f t="shared" si="2"/>
        <v>0</v>
      </c>
      <c r="J28" s="2">
        <f t="shared" si="3"/>
        <v>0</v>
      </c>
      <c r="K28" s="2">
        <f t="shared" si="4"/>
        <v>0</v>
      </c>
      <c r="L28" s="2">
        <f t="shared" si="5"/>
        <v>0</v>
      </c>
      <c r="M28" s="2">
        <f t="shared" si="6"/>
        <v>0</v>
      </c>
    </row>
    <row r="29" spans="1:13" x14ac:dyDescent="0.3">
      <c r="A29" s="2" t="s">
        <v>926</v>
      </c>
      <c r="B29" s="2" t="s">
        <v>58</v>
      </c>
      <c r="C29" s="2" t="s">
        <v>251</v>
      </c>
      <c r="D29" s="2"/>
      <c r="E29" s="2"/>
      <c r="F29" s="2"/>
      <c r="G29" s="2">
        <f t="shared" si="0"/>
        <v>0</v>
      </c>
      <c r="H29" s="2">
        <f t="shared" si="1"/>
        <v>0</v>
      </c>
      <c r="I29" s="2">
        <f t="shared" si="2"/>
        <v>1</v>
      </c>
      <c r="J29" s="2">
        <f t="shared" si="3"/>
        <v>0</v>
      </c>
      <c r="K29" s="2">
        <f t="shared" si="4"/>
        <v>0</v>
      </c>
      <c r="L29" s="2">
        <f t="shared" si="5"/>
        <v>0</v>
      </c>
      <c r="M29" s="2">
        <f t="shared" si="6"/>
        <v>0</v>
      </c>
    </row>
    <row r="30" spans="1:13" x14ac:dyDescent="0.3">
      <c r="A30" s="2" t="s">
        <v>172</v>
      </c>
      <c r="B30" s="2" t="s">
        <v>59</v>
      </c>
      <c r="C30" s="2" t="s">
        <v>241</v>
      </c>
      <c r="D30" s="2"/>
      <c r="E30" s="2"/>
      <c r="F30" s="2"/>
      <c r="G30" s="2">
        <f t="shared" si="0"/>
        <v>0</v>
      </c>
      <c r="H30" s="2">
        <f t="shared" si="1"/>
        <v>0</v>
      </c>
      <c r="I30" s="2">
        <f t="shared" si="2"/>
        <v>0</v>
      </c>
      <c r="J30" s="2">
        <f t="shared" si="3"/>
        <v>1</v>
      </c>
      <c r="K30" s="2">
        <f t="shared" si="4"/>
        <v>0</v>
      </c>
      <c r="L30" s="2">
        <f t="shared" si="5"/>
        <v>0</v>
      </c>
      <c r="M30" s="2">
        <f t="shared" si="6"/>
        <v>0</v>
      </c>
    </row>
    <row r="31" spans="1:13" x14ac:dyDescent="0.3">
      <c r="A31" s="2" t="s">
        <v>668</v>
      </c>
      <c r="B31" s="2" t="s">
        <v>60</v>
      </c>
      <c r="C31" s="2" t="s">
        <v>249</v>
      </c>
      <c r="D31" s="2" t="s">
        <v>1116</v>
      </c>
      <c r="E31" s="2" t="s">
        <v>1117</v>
      </c>
      <c r="F31" s="2"/>
      <c r="G31" s="2">
        <f t="shared" si="0"/>
        <v>0</v>
      </c>
      <c r="H31" s="2">
        <f t="shared" si="1"/>
        <v>0</v>
      </c>
      <c r="I31" s="2">
        <f t="shared" si="2"/>
        <v>0</v>
      </c>
      <c r="J31" s="2">
        <f t="shared" si="3"/>
        <v>0</v>
      </c>
      <c r="K31" s="2">
        <f t="shared" si="4"/>
        <v>1</v>
      </c>
      <c r="L31" s="2">
        <f t="shared" si="5"/>
        <v>0</v>
      </c>
      <c r="M31" s="2">
        <f t="shared" si="6"/>
        <v>0</v>
      </c>
    </row>
    <row r="32" spans="1:13" x14ac:dyDescent="0.3">
      <c r="A32" s="2" t="s">
        <v>859</v>
      </c>
      <c r="B32" s="2" t="s">
        <v>61</v>
      </c>
      <c r="C32" s="2" t="s">
        <v>251</v>
      </c>
      <c r="D32" s="2" t="s">
        <v>1116</v>
      </c>
      <c r="E32" s="2"/>
      <c r="F32" s="2"/>
      <c r="G32" s="2">
        <f t="shared" si="0"/>
        <v>0</v>
      </c>
      <c r="H32" s="2">
        <f t="shared" si="1"/>
        <v>0</v>
      </c>
      <c r="I32" s="2">
        <f t="shared" si="2"/>
        <v>1</v>
      </c>
      <c r="J32" s="2">
        <f t="shared" si="3"/>
        <v>0</v>
      </c>
      <c r="K32" s="2">
        <f t="shared" si="4"/>
        <v>1</v>
      </c>
      <c r="L32" s="2">
        <f t="shared" si="5"/>
        <v>0</v>
      </c>
      <c r="M32" s="2">
        <f t="shared" si="6"/>
        <v>0</v>
      </c>
    </row>
    <row r="33" spans="1:13" x14ac:dyDescent="0.3">
      <c r="A33" s="2" t="s">
        <v>662</v>
      </c>
      <c r="B33" s="2" t="s">
        <v>62</v>
      </c>
      <c r="C33" s="2" t="s">
        <v>255</v>
      </c>
      <c r="D33" s="2" t="s">
        <v>1116</v>
      </c>
      <c r="E33" s="2"/>
      <c r="F33" s="2"/>
      <c r="G33" s="2">
        <f t="shared" si="0"/>
        <v>1</v>
      </c>
      <c r="H33" s="2">
        <f t="shared" si="1"/>
        <v>0</v>
      </c>
      <c r="I33" s="2">
        <f t="shared" si="2"/>
        <v>0</v>
      </c>
      <c r="J33" s="2">
        <f t="shared" si="3"/>
        <v>0</v>
      </c>
      <c r="K33" s="2">
        <f t="shared" si="4"/>
        <v>1</v>
      </c>
      <c r="L33" s="2">
        <f t="shared" si="5"/>
        <v>0</v>
      </c>
      <c r="M33" s="2">
        <f t="shared" si="6"/>
        <v>0</v>
      </c>
    </row>
    <row r="34" spans="1:13" x14ac:dyDescent="0.3">
      <c r="A34" s="2" t="s">
        <v>690</v>
      </c>
      <c r="B34" s="2" t="s">
        <v>63</v>
      </c>
      <c r="C34" s="2" t="s">
        <v>251</v>
      </c>
      <c r="D34" s="2"/>
      <c r="E34" s="2"/>
      <c r="F34" s="2"/>
      <c r="G34" s="2">
        <f t="shared" si="0"/>
        <v>0</v>
      </c>
      <c r="H34" s="2">
        <f t="shared" si="1"/>
        <v>0</v>
      </c>
      <c r="I34" s="2">
        <f t="shared" si="2"/>
        <v>1</v>
      </c>
      <c r="J34" s="2">
        <f t="shared" si="3"/>
        <v>0</v>
      </c>
      <c r="K34" s="2">
        <f t="shared" si="4"/>
        <v>0</v>
      </c>
      <c r="L34" s="2">
        <f t="shared" si="5"/>
        <v>0</v>
      </c>
      <c r="M34" s="2">
        <f t="shared" si="6"/>
        <v>0</v>
      </c>
    </row>
    <row r="35" spans="1:13" x14ac:dyDescent="0.3">
      <c r="A35" s="2" t="s">
        <v>752</v>
      </c>
      <c r="B35" s="2" t="s">
        <v>64</v>
      </c>
      <c r="C35" s="2" t="s">
        <v>275</v>
      </c>
      <c r="D35" s="2" t="s">
        <v>1115</v>
      </c>
      <c r="E35" s="2" t="s">
        <v>1120</v>
      </c>
      <c r="F35" s="2"/>
      <c r="G35" s="2">
        <f t="shared" si="0"/>
        <v>0</v>
      </c>
      <c r="H35" s="2">
        <f t="shared" si="1"/>
        <v>1</v>
      </c>
      <c r="I35" s="2">
        <f t="shared" si="2"/>
        <v>0</v>
      </c>
      <c r="J35" s="2">
        <f t="shared" si="3"/>
        <v>0</v>
      </c>
      <c r="K35" s="2">
        <f t="shared" si="4"/>
        <v>0</v>
      </c>
      <c r="L35" s="2">
        <f t="shared" si="5"/>
        <v>0</v>
      </c>
      <c r="M35" s="2">
        <f t="shared" si="6"/>
        <v>0</v>
      </c>
    </row>
    <row r="36" spans="1:13" x14ac:dyDescent="0.3">
      <c r="A36" s="2" t="s">
        <v>715</v>
      </c>
      <c r="B36" s="2" t="s">
        <v>65</v>
      </c>
      <c r="C36" s="2" t="s">
        <v>275</v>
      </c>
      <c r="D36" s="2" t="s">
        <v>1117</v>
      </c>
      <c r="E36" s="2" t="s">
        <v>1118</v>
      </c>
      <c r="F36" s="2"/>
      <c r="G36" s="2">
        <f t="shared" si="0"/>
        <v>0</v>
      </c>
      <c r="H36" s="2">
        <f t="shared" si="1"/>
        <v>0</v>
      </c>
      <c r="I36" s="2">
        <f t="shared" si="2"/>
        <v>0</v>
      </c>
      <c r="J36" s="2">
        <f t="shared" si="3"/>
        <v>0</v>
      </c>
      <c r="K36" s="2">
        <f t="shared" si="4"/>
        <v>0</v>
      </c>
      <c r="L36" s="2">
        <f t="shared" si="5"/>
        <v>0</v>
      </c>
      <c r="M36" s="2">
        <f t="shared" si="6"/>
        <v>0</v>
      </c>
    </row>
    <row r="37" spans="1:13" x14ac:dyDescent="0.3">
      <c r="A37" s="2" t="s">
        <v>802</v>
      </c>
      <c r="B37" s="2" t="s">
        <v>66</v>
      </c>
      <c r="C37" s="2" t="s">
        <v>249</v>
      </c>
      <c r="D37" s="2"/>
      <c r="E37" s="2"/>
      <c r="F37" s="2"/>
      <c r="G37" s="2">
        <f t="shared" si="0"/>
        <v>0</v>
      </c>
      <c r="H37" s="2">
        <f t="shared" si="1"/>
        <v>0</v>
      </c>
      <c r="I37" s="2">
        <f t="shared" si="2"/>
        <v>0</v>
      </c>
      <c r="J37" s="2">
        <f t="shared" si="3"/>
        <v>0</v>
      </c>
      <c r="K37" s="2">
        <f t="shared" si="4"/>
        <v>0</v>
      </c>
      <c r="L37" s="2">
        <f t="shared" si="5"/>
        <v>0</v>
      </c>
      <c r="M37" s="2">
        <f t="shared" si="6"/>
        <v>0</v>
      </c>
    </row>
    <row r="38" spans="1:13" x14ac:dyDescent="0.3">
      <c r="A38" s="2" t="s">
        <v>922</v>
      </c>
      <c r="B38" s="2" t="s">
        <v>67</v>
      </c>
      <c r="C38" s="2" t="s">
        <v>275</v>
      </c>
      <c r="D38" s="2" t="s">
        <v>1119</v>
      </c>
      <c r="E38" s="2"/>
      <c r="F38" s="2"/>
      <c r="G38" s="2">
        <f t="shared" si="0"/>
        <v>0</v>
      </c>
      <c r="H38" s="2">
        <f t="shared" si="1"/>
        <v>0</v>
      </c>
      <c r="I38" s="2">
        <f t="shared" si="2"/>
        <v>0</v>
      </c>
      <c r="J38" s="2">
        <f t="shared" si="3"/>
        <v>0</v>
      </c>
      <c r="K38" s="2">
        <f t="shared" si="4"/>
        <v>0</v>
      </c>
      <c r="L38" s="2">
        <f t="shared" si="5"/>
        <v>0</v>
      </c>
      <c r="M38" s="2">
        <f t="shared" si="6"/>
        <v>0</v>
      </c>
    </row>
    <row r="39" spans="1:13" x14ac:dyDescent="0.3">
      <c r="A39" s="2" t="s">
        <v>893</v>
      </c>
      <c r="B39" s="2" t="s">
        <v>68</v>
      </c>
      <c r="C39" s="2" t="s">
        <v>243</v>
      </c>
      <c r="D39" s="2" t="s">
        <v>1115</v>
      </c>
      <c r="E39" s="2" t="s">
        <v>1121</v>
      </c>
      <c r="F39" s="2"/>
      <c r="G39" s="2">
        <f t="shared" si="0"/>
        <v>0</v>
      </c>
      <c r="H39" s="2">
        <f t="shared" si="1"/>
        <v>1</v>
      </c>
      <c r="I39" s="2">
        <f t="shared" si="2"/>
        <v>0</v>
      </c>
      <c r="J39" s="2">
        <f t="shared" si="3"/>
        <v>0</v>
      </c>
      <c r="K39" s="2">
        <f t="shared" si="4"/>
        <v>0</v>
      </c>
      <c r="L39" s="2">
        <f t="shared" si="5"/>
        <v>1</v>
      </c>
      <c r="M39" s="2">
        <f t="shared" si="6"/>
        <v>0</v>
      </c>
    </row>
    <row r="40" spans="1:13" x14ac:dyDescent="0.3">
      <c r="A40" s="2" t="s">
        <v>194</v>
      </c>
      <c r="B40" s="2" t="s">
        <v>69</v>
      </c>
      <c r="C40" s="2" t="s">
        <v>251</v>
      </c>
      <c r="D40" s="2"/>
      <c r="E40" s="2"/>
      <c r="F40" s="2"/>
      <c r="G40" s="2">
        <f t="shared" si="0"/>
        <v>0</v>
      </c>
      <c r="H40" s="2">
        <f t="shared" si="1"/>
        <v>0</v>
      </c>
      <c r="I40" s="2">
        <f t="shared" si="2"/>
        <v>1</v>
      </c>
      <c r="J40" s="2">
        <f t="shared" si="3"/>
        <v>0</v>
      </c>
      <c r="K40" s="2">
        <f t="shared" si="4"/>
        <v>0</v>
      </c>
      <c r="L40" s="2">
        <f t="shared" si="5"/>
        <v>0</v>
      </c>
      <c r="M40" s="2">
        <f t="shared" si="6"/>
        <v>0</v>
      </c>
    </row>
    <row r="41" spans="1:13" x14ac:dyDescent="0.3">
      <c r="A41" s="2" t="s">
        <v>139</v>
      </c>
      <c r="B41" s="2" t="s">
        <v>70</v>
      </c>
      <c r="C41" s="2" t="s">
        <v>262</v>
      </c>
      <c r="D41" s="2" t="s">
        <v>1115</v>
      </c>
      <c r="E41" s="2" t="s">
        <v>1117</v>
      </c>
      <c r="F41" s="2"/>
      <c r="G41" s="2">
        <f t="shared" si="0"/>
        <v>0</v>
      </c>
      <c r="H41" s="2">
        <f t="shared" si="1"/>
        <v>1</v>
      </c>
      <c r="I41" s="2">
        <f t="shared" si="2"/>
        <v>0</v>
      </c>
      <c r="J41" s="2">
        <f t="shared" si="3"/>
        <v>0</v>
      </c>
      <c r="K41" s="2">
        <f t="shared" si="4"/>
        <v>0</v>
      </c>
      <c r="L41" s="2">
        <f t="shared" si="5"/>
        <v>0</v>
      </c>
      <c r="M41" s="2">
        <f t="shared" si="6"/>
        <v>1</v>
      </c>
    </row>
    <row r="42" spans="1:13" x14ac:dyDescent="0.3">
      <c r="A42" s="2" t="s">
        <v>220</v>
      </c>
      <c r="B42" s="2" t="s">
        <v>71</v>
      </c>
      <c r="C42" s="2" t="s">
        <v>275</v>
      </c>
      <c r="D42" s="2" t="s">
        <v>1115</v>
      </c>
      <c r="E42" s="2"/>
      <c r="F42" s="2"/>
      <c r="G42" s="2">
        <f t="shared" si="0"/>
        <v>0</v>
      </c>
      <c r="H42" s="2">
        <f t="shared" si="1"/>
        <v>1</v>
      </c>
      <c r="I42" s="2">
        <f t="shared" si="2"/>
        <v>0</v>
      </c>
      <c r="J42" s="2">
        <f t="shared" si="3"/>
        <v>0</v>
      </c>
      <c r="K42" s="2">
        <f t="shared" si="4"/>
        <v>0</v>
      </c>
      <c r="L42" s="2">
        <f t="shared" si="5"/>
        <v>0</v>
      </c>
      <c r="M42" s="2">
        <f t="shared" si="6"/>
        <v>0</v>
      </c>
    </row>
    <row r="43" spans="1:13" x14ac:dyDescent="0.3">
      <c r="A43" s="2" t="s">
        <v>768</v>
      </c>
      <c r="B43" s="2" t="s">
        <v>72</v>
      </c>
      <c r="C43" s="2" t="s">
        <v>251</v>
      </c>
      <c r="D43" s="2" t="s">
        <v>1115</v>
      </c>
      <c r="E43" s="2" t="s">
        <v>1116</v>
      </c>
      <c r="F43" s="2"/>
      <c r="G43" s="2">
        <f t="shared" si="0"/>
        <v>0</v>
      </c>
      <c r="H43" s="2">
        <f t="shared" si="1"/>
        <v>1</v>
      </c>
      <c r="I43" s="2">
        <f t="shared" si="2"/>
        <v>1</v>
      </c>
      <c r="J43" s="2">
        <f t="shared" si="3"/>
        <v>0</v>
      </c>
      <c r="K43" s="2">
        <f t="shared" si="4"/>
        <v>1</v>
      </c>
      <c r="L43" s="2">
        <f t="shared" si="5"/>
        <v>0</v>
      </c>
      <c r="M43" s="2">
        <f t="shared" si="6"/>
        <v>0</v>
      </c>
    </row>
    <row r="44" spans="1:13" x14ac:dyDescent="0.3">
      <c r="A44" s="2" t="s">
        <v>828</v>
      </c>
      <c r="B44" s="2" t="s">
        <v>73</v>
      </c>
      <c r="C44" s="2" t="s">
        <v>275</v>
      </c>
      <c r="D44" s="2"/>
      <c r="E44" s="2"/>
      <c r="F44" s="2"/>
      <c r="G44" s="2">
        <f t="shared" si="0"/>
        <v>0</v>
      </c>
      <c r="H44" s="2">
        <f t="shared" si="1"/>
        <v>0</v>
      </c>
      <c r="I44" s="2">
        <f t="shared" si="2"/>
        <v>0</v>
      </c>
      <c r="J44" s="2">
        <f t="shared" si="3"/>
        <v>0</v>
      </c>
      <c r="K44" s="2">
        <f t="shared" si="4"/>
        <v>0</v>
      </c>
      <c r="L44" s="2">
        <f t="shared" si="5"/>
        <v>0</v>
      </c>
      <c r="M44" s="2">
        <f t="shared" si="6"/>
        <v>0</v>
      </c>
    </row>
    <row r="45" spans="1:13" x14ac:dyDescent="0.3">
      <c r="A45" s="2" t="s">
        <v>671</v>
      </c>
      <c r="B45" s="2" t="s">
        <v>74</v>
      </c>
      <c r="C45" s="2" t="s">
        <v>249</v>
      </c>
      <c r="D45" s="2" t="s">
        <v>1120</v>
      </c>
      <c r="E45" s="2"/>
      <c r="F45" s="2"/>
      <c r="G45" s="2">
        <f t="shared" si="0"/>
        <v>0</v>
      </c>
      <c r="H45" s="2">
        <f t="shared" si="1"/>
        <v>0</v>
      </c>
      <c r="I45" s="2">
        <f t="shared" si="2"/>
        <v>0</v>
      </c>
      <c r="J45" s="2">
        <f t="shared" si="3"/>
        <v>0</v>
      </c>
      <c r="K45" s="2">
        <f t="shared" si="4"/>
        <v>0</v>
      </c>
      <c r="L45" s="2">
        <f t="shared" si="5"/>
        <v>0</v>
      </c>
      <c r="M45" s="2">
        <f t="shared" si="6"/>
        <v>0</v>
      </c>
    </row>
    <row r="46" spans="1:13" x14ac:dyDescent="0.3">
      <c r="A46" s="2" t="s">
        <v>178</v>
      </c>
      <c r="B46" s="2" t="s">
        <v>75</v>
      </c>
      <c r="C46" s="2" t="s">
        <v>262</v>
      </c>
      <c r="D46" s="2" t="s">
        <v>1117</v>
      </c>
      <c r="E46" s="2"/>
      <c r="F46" s="2"/>
      <c r="G46" s="2">
        <f t="shared" si="0"/>
        <v>0</v>
      </c>
      <c r="H46" s="2">
        <f t="shared" si="1"/>
        <v>0</v>
      </c>
      <c r="I46" s="2">
        <f t="shared" si="2"/>
        <v>0</v>
      </c>
      <c r="J46" s="2">
        <f t="shared" si="3"/>
        <v>0</v>
      </c>
      <c r="K46" s="2">
        <f t="shared" si="4"/>
        <v>0</v>
      </c>
      <c r="L46" s="2">
        <f t="shared" si="5"/>
        <v>0</v>
      </c>
      <c r="M46" s="2">
        <f t="shared" si="6"/>
        <v>1</v>
      </c>
    </row>
    <row r="47" spans="1:13" x14ac:dyDescent="0.3">
      <c r="A47" s="2" t="s">
        <v>1109</v>
      </c>
      <c r="B47" s="2" t="s">
        <v>76</v>
      </c>
      <c r="C47" s="2" t="s">
        <v>275</v>
      </c>
      <c r="D47" s="2" t="s">
        <v>1119</v>
      </c>
      <c r="E47" s="2" t="s">
        <v>1115</v>
      </c>
      <c r="F47" s="2"/>
      <c r="G47" s="2">
        <f t="shared" si="0"/>
        <v>0</v>
      </c>
      <c r="H47" s="2">
        <f t="shared" si="1"/>
        <v>1</v>
      </c>
      <c r="I47" s="2">
        <f t="shared" si="2"/>
        <v>0</v>
      </c>
      <c r="J47" s="2">
        <f t="shared" si="3"/>
        <v>0</v>
      </c>
      <c r="K47" s="2">
        <f t="shared" si="4"/>
        <v>0</v>
      </c>
      <c r="L47" s="2">
        <f t="shared" si="5"/>
        <v>0</v>
      </c>
      <c r="M47" s="2">
        <f t="shared" si="6"/>
        <v>0</v>
      </c>
    </row>
    <row r="48" spans="1:13" x14ac:dyDescent="0.3">
      <c r="A48" s="2" t="s">
        <v>675</v>
      </c>
      <c r="B48" s="2" t="s">
        <v>77</v>
      </c>
      <c r="C48" s="2" t="s">
        <v>249</v>
      </c>
      <c r="D48" s="2"/>
      <c r="E48" s="2"/>
      <c r="F48" s="2"/>
      <c r="G48" s="2">
        <f t="shared" si="0"/>
        <v>0</v>
      </c>
      <c r="H48" s="2">
        <f t="shared" si="1"/>
        <v>0</v>
      </c>
      <c r="I48" s="2">
        <f t="shared" si="2"/>
        <v>0</v>
      </c>
      <c r="J48" s="2">
        <f t="shared" si="3"/>
        <v>0</v>
      </c>
      <c r="K48" s="2">
        <f t="shared" si="4"/>
        <v>0</v>
      </c>
      <c r="L48" s="2">
        <f t="shared" si="5"/>
        <v>0</v>
      </c>
      <c r="M48" s="2">
        <f t="shared" si="6"/>
        <v>0</v>
      </c>
    </row>
    <row r="49" spans="1:13" x14ac:dyDescent="0.3">
      <c r="A49" s="2" t="s">
        <v>873</v>
      </c>
      <c r="B49" s="2" t="s">
        <v>78</v>
      </c>
      <c r="C49" s="2" t="s">
        <v>243</v>
      </c>
      <c r="D49" s="2" t="s">
        <v>1119</v>
      </c>
      <c r="E49" s="2"/>
      <c r="F49" s="2"/>
      <c r="G49" s="2">
        <f t="shared" si="0"/>
        <v>0</v>
      </c>
      <c r="H49" s="2">
        <f t="shared" si="1"/>
        <v>0</v>
      </c>
      <c r="I49" s="2">
        <f t="shared" si="2"/>
        <v>0</v>
      </c>
      <c r="J49" s="2">
        <f t="shared" si="3"/>
        <v>0</v>
      </c>
      <c r="K49" s="2">
        <f t="shared" si="4"/>
        <v>0</v>
      </c>
      <c r="L49" s="2">
        <f t="shared" si="5"/>
        <v>1</v>
      </c>
      <c r="M49" s="2">
        <f t="shared" si="6"/>
        <v>0</v>
      </c>
    </row>
    <row r="50" spans="1:13" x14ac:dyDescent="0.3">
      <c r="A50" s="2" t="s">
        <v>195</v>
      </c>
      <c r="B50" s="2" t="s">
        <v>79</v>
      </c>
      <c r="C50" s="2" t="s">
        <v>251</v>
      </c>
      <c r="D50" s="2"/>
      <c r="E50" s="2"/>
      <c r="F50" s="2"/>
      <c r="G50" s="2">
        <f t="shared" si="0"/>
        <v>0</v>
      </c>
      <c r="H50" s="2">
        <f t="shared" si="1"/>
        <v>0</v>
      </c>
      <c r="I50" s="2">
        <f t="shared" si="2"/>
        <v>1</v>
      </c>
      <c r="J50" s="2">
        <f t="shared" si="3"/>
        <v>0</v>
      </c>
      <c r="K50" s="2">
        <f t="shared" si="4"/>
        <v>0</v>
      </c>
      <c r="L50" s="2">
        <f t="shared" si="5"/>
        <v>0</v>
      </c>
      <c r="M50" s="2">
        <f t="shared" si="6"/>
        <v>0</v>
      </c>
    </row>
    <row r="51" spans="1:13" x14ac:dyDescent="0.3">
      <c r="A51" s="2" t="s">
        <v>938</v>
      </c>
      <c r="B51" s="2" t="s">
        <v>80</v>
      </c>
      <c r="C51" s="2" t="s">
        <v>262</v>
      </c>
      <c r="D51" s="2"/>
      <c r="E51" s="2"/>
      <c r="F51" s="2"/>
      <c r="G51" s="2">
        <f t="shared" si="0"/>
        <v>0</v>
      </c>
      <c r="H51" s="2">
        <f t="shared" si="1"/>
        <v>0</v>
      </c>
      <c r="I51" s="2">
        <f t="shared" si="2"/>
        <v>0</v>
      </c>
      <c r="J51" s="2">
        <f t="shared" si="3"/>
        <v>0</v>
      </c>
      <c r="K51" s="2">
        <f t="shared" si="4"/>
        <v>0</v>
      </c>
      <c r="L51" s="2">
        <f t="shared" si="5"/>
        <v>0</v>
      </c>
      <c r="M51" s="2">
        <f t="shared" si="6"/>
        <v>1</v>
      </c>
    </row>
    <row r="52" spans="1:13" x14ac:dyDescent="0.3">
      <c r="A52" s="2" t="s">
        <v>904</v>
      </c>
      <c r="B52" s="2" t="s">
        <v>81</v>
      </c>
      <c r="C52" s="2" t="s">
        <v>241</v>
      </c>
      <c r="D52" s="2" t="s">
        <v>1119</v>
      </c>
      <c r="E52" s="2" t="s">
        <v>1120</v>
      </c>
      <c r="F52" s="2"/>
      <c r="G52" s="2">
        <f t="shared" si="0"/>
        <v>0</v>
      </c>
      <c r="H52" s="2">
        <f t="shared" si="1"/>
        <v>0</v>
      </c>
      <c r="I52" s="2">
        <f t="shared" si="2"/>
        <v>0</v>
      </c>
      <c r="J52" s="2">
        <f t="shared" si="3"/>
        <v>1</v>
      </c>
      <c r="K52" s="2">
        <f t="shared" si="4"/>
        <v>0</v>
      </c>
      <c r="L52" s="2">
        <f t="shared" si="5"/>
        <v>0</v>
      </c>
      <c r="M52" s="2">
        <f t="shared" si="6"/>
        <v>0</v>
      </c>
    </row>
    <row r="53" spans="1:13" x14ac:dyDescent="0.3">
      <c r="A53" s="2" t="s">
        <v>143</v>
      </c>
      <c r="B53" s="2" t="s">
        <v>82</v>
      </c>
      <c r="C53" s="2" t="s">
        <v>275</v>
      </c>
      <c r="D53" s="2" t="s">
        <v>1121</v>
      </c>
      <c r="E53" s="2" t="s">
        <v>1120</v>
      </c>
      <c r="F53" s="2"/>
      <c r="G53" s="2">
        <f t="shared" si="0"/>
        <v>0</v>
      </c>
      <c r="H53" s="2">
        <f t="shared" si="1"/>
        <v>0</v>
      </c>
      <c r="I53" s="2">
        <f t="shared" si="2"/>
        <v>0</v>
      </c>
      <c r="J53" s="2">
        <f t="shared" si="3"/>
        <v>0</v>
      </c>
      <c r="K53" s="2">
        <f t="shared" si="4"/>
        <v>0</v>
      </c>
      <c r="L53" s="2">
        <f t="shared" si="5"/>
        <v>0</v>
      </c>
      <c r="M53" s="2">
        <f t="shared" si="6"/>
        <v>0</v>
      </c>
    </row>
    <row r="54" spans="1:13" x14ac:dyDescent="0.3">
      <c r="A54" s="2" t="s">
        <v>222</v>
      </c>
      <c r="B54" s="2" t="s">
        <v>83</v>
      </c>
      <c r="C54" s="2" t="s">
        <v>262</v>
      </c>
      <c r="D54" s="2" t="s">
        <v>1121</v>
      </c>
      <c r="E54" s="2"/>
      <c r="F54" s="2"/>
      <c r="G54" s="2">
        <f t="shared" si="0"/>
        <v>0</v>
      </c>
      <c r="H54" s="2">
        <f t="shared" si="1"/>
        <v>0</v>
      </c>
      <c r="I54" s="2">
        <f t="shared" si="2"/>
        <v>0</v>
      </c>
      <c r="J54" s="2">
        <f t="shared" si="3"/>
        <v>0</v>
      </c>
      <c r="K54" s="2">
        <f t="shared" si="4"/>
        <v>0</v>
      </c>
      <c r="L54" s="2">
        <f t="shared" si="5"/>
        <v>0</v>
      </c>
      <c r="M54" s="2">
        <f t="shared" si="6"/>
        <v>1</v>
      </c>
    </row>
    <row r="55" spans="1:13" x14ac:dyDescent="0.3">
      <c r="A55" s="2" t="s">
        <v>138</v>
      </c>
      <c r="B55" s="2" t="s">
        <v>84</v>
      </c>
      <c r="C55" s="2" t="s">
        <v>249</v>
      </c>
      <c r="D55" s="2"/>
      <c r="E55" s="2"/>
      <c r="F55" s="2"/>
      <c r="G55" s="2">
        <f t="shared" si="0"/>
        <v>0</v>
      </c>
      <c r="H55" s="2">
        <f t="shared" si="1"/>
        <v>0</v>
      </c>
      <c r="I55" s="2">
        <f t="shared" si="2"/>
        <v>0</v>
      </c>
      <c r="J55" s="2">
        <f t="shared" si="3"/>
        <v>0</v>
      </c>
      <c r="K55" s="2">
        <f t="shared" si="4"/>
        <v>0</v>
      </c>
      <c r="L55" s="2">
        <f t="shared" si="5"/>
        <v>0</v>
      </c>
      <c r="M55" s="2">
        <f t="shared" si="6"/>
        <v>0</v>
      </c>
    </row>
    <row r="56" spans="1:13" x14ac:dyDescent="0.3">
      <c r="A56" s="2" t="s">
        <v>834</v>
      </c>
      <c r="B56" s="2" t="s">
        <v>85</v>
      </c>
      <c r="C56" s="2" t="s">
        <v>251</v>
      </c>
      <c r="D56" s="2" t="s">
        <v>1116</v>
      </c>
      <c r="E56" s="2" t="s">
        <v>1120</v>
      </c>
      <c r="F56" s="2"/>
      <c r="G56" s="2">
        <f t="shared" si="0"/>
        <v>0</v>
      </c>
      <c r="H56" s="2">
        <f t="shared" si="1"/>
        <v>0</v>
      </c>
      <c r="I56" s="2">
        <f t="shared" si="2"/>
        <v>1</v>
      </c>
      <c r="J56" s="2">
        <f t="shared" si="3"/>
        <v>0</v>
      </c>
      <c r="K56" s="2">
        <f t="shared" si="4"/>
        <v>1</v>
      </c>
      <c r="L56" s="2">
        <f t="shared" si="5"/>
        <v>0</v>
      </c>
      <c r="M56" s="2">
        <f t="shared" si="6"/>
        <v>0</v>
      </c>
    </row>
    <row r="57" spans="1:13" x14ac:dyDescent="0.3">
      <c r="A57" s="2" t="s">
        <v>934</v>
      </c>
      <c r="B57" s="2" t="s">
        <v>86</v>
      </c>
      <c r="C57" s="2" t="s">
        <v>255</v>
      </c>
      <c r="D57" s="2"/>
      <c r="E57" s="2"/>
      <c r="F57" s="2"/>
      <c r="G57" s="2">
        <f t="shared" si="0"/>
        <v>1</v>
      </c>
      <c r="H57" s="2">
        <f t="shared" si="1"/>
        <v>0</v>
      </c>
      <c r="I57" s="2">
        <f t="shared" si="2"/>
        <v>0</v>
      </c>
      <c r="J57" s="2">
        <f t="shared" si="3"/>
        <v>0</v>
      </c>
      <c r="K57" s="2">
        <f t="shared" si="4"/>
        <v>0</v>
      </c>
      <c r="L57" s="2">
        <f t="shared" si="5"/>
        <v>0</v>
      </c>
      <c r="M57" s="2">
        <f t="shared" si="6"/>
        <v>0</v>
      </c>
    </row>
    <row r="58" spans="1:13" x14ac:dyDescent="0.3">
      <c r="A58" s="2" t="s">
        <v>157</v>
      </c>
      <c r="B58" s="2" t="s">
        <v>87</v>
      </c>
      <c r="C58" s="2" t="s">
        <v>251</v>
      </c>
      <c r="D58" s="2" t="s">
        <v>1120</v>
      </c>
      <c r="E58" s="2"/>
      <c r="F58" s="2"/>
      <c r="G58" s="2">
        <f t="shared" si="0"/>
        <v>0</v>
      </c>
      <c r="H58" s="2">
        <f t="shared" si="1"/>
        <v>0</v>
      </c>
      <c r="I58" s="2">
        <f t="shared" si="2"/>
        <v>1</v>
      </c>
      <c r="J58" s="2">
        <f t="shared" si="3"/>
        <v>0</v>
      </c>
      <c r="K58" s="2">
        <f t="shared" si="4"/>
        <v>0</v>
      </c>
      <c r="L58" s="2">
        <f t="shared" si="5"/>
        <v>0</v>
      </c>
      <c r="M58" s="2">
        <f t="shared" si="6"/>
        <v>0</v>
      </c>
    </row>
    <row r="59" spans="1:13" x14ac:dyDescent="0.3">
      <c r="A59" s="2" t="s">
        <v>185</v>
      </c>
      <c r="B59" s="2" t="s">
        <v>88</v>
      </c>
      <c r="C59" s="2" t="s">
        <v>241</v>
      </c>
      <c r="D59" s="2" t="s">
        <v>1117</v>
      </c>
      <c r="E59" s="2"/>
      <c r="F59" s="2"/>
      <c r="G59" s="2">
        <f t="shared" si="0"/>
        <v>0</v>
      </c>
      <c r="H59" s="2">
        <f t="shared" si="1"/>
        <v>0</v>
      </c>
      <c r="I59" s="2">
        <f t="shared" si="2"/>
        <v>0</v>
      </c>
      <c r="J59" s="2">
        <f t="shared" si="3"/>
        <v>1</v>
      </c>
      <c r="K59" s="2">
        <f t="shared" si="4"/>
        <v>0</v>
      </c>
      <c r="L59" s="2">
        <f t="shared" si="5"/>
        <v>0</v>
      </c>
      <c r="M59" s="2">
        <f t="shared" si="6"/>
        <v>0</v>
      </c>
    </row>
    <row r="60" spans="1:13" x14ac:dyDescent="0.3">
      <c r="A60" s="2" t="s">
        <v>741</v>
      </c>
      <c r="B60" s="2" t="s">
        <v>89</v>
      </c>
      <c r="C60" s="2" t="s">
        <v>275</v>
      </c>
      <c r="D60" s="2" t="s">
        <v>1121</v>
      </c>
      <c r="E60" s="2" t="s">
        <v>1115</v>
      </c>
      <c r="F60" s="2"/>
      <c r="G60" s="2">
        <f t="shared" si="0"/>
        <v>0</v>
      </c>
      <c r="H60" s="2">
        <f t="shared" si="1"/>
        <v>1</v>
      </c>
      <c r="I60" s="2">
        <f t="shared" si="2"/>
        <v>0</v>
      </c>
      <c r="J60" s="2">
        <f t="shared" si="3"/>
        <v>0</v>
      </c>
      <c r="K60" s="2">
        <f t="shared" si="4"/>
        <v>0</v>
      </c>
      <c r="L60" s="2">
        <f t="shared" si="5"/>
        <v>0</v>
      </c>
      <c r="M60" s="2">
        <f t="shared" si="6"/>
        <v>0</v>
      </c>
    </row>
    <row r="61" spans="1:13" x14ac:dyDescent="0.3">
      <c r="A61" s="2" t="s">
        <v>920</v>
      </c>
      <c r="B61" s="2" t="s">
        <v>90</v>
      </c>
      <c r="C61" s="2" t="s">
        <v>251</v>
      </c>
      <c r="D61" s="2" t="s">
        <v>1121</v>
      </c>
      <c r="E61" s="2" t="s">
        <v>1118</v>
      </c>
      <c r="F61" s="2"/>
      <c r="G61" s="2">
        <f t="shared" si="0"/>
        <v>0</v>
      </c>
      <c r="H61" s="2">
        <f t="shared" si="1"/>
        <v>0</v>
      </c>
      <c r="I61" s="2">
        <f t="shared" si="2"/>
        <v>1</v>
      </c>
      <c r="J61" s="2">
        <f t="shared" si="3"/>
        <v>0</v>
      </c>
      <c r="K61" s="2">
        <f t="shared" si="4"/>
        <v>0</v>
      </c>
      <c r="L61" s="2">
        <f t="shared" si="5"/>
        <v>0</v>
      </c>
      <c r="M61" s="2">
        <f t="shared" si="6"/>
        <v>0</v>
      </c>
    </row>
    <row r="62" spans="1:13" x14ac:dyDescent="0.3">
      <c r="A62" s="2" t="s">
        <v>801</v>
      </c>
      <c r="B62" s="2" t="s">
        <v>91</v>
      </c>
      <c r="C62" s="2" t="s">
        <v>243</v>
      </c>
      <c r="D62" s="2" t="s">
        <v>1119</v>
      </c>
      <c r="E62" s="2"/>
      <c r="F62" s="2"/>
      <c r="G62" s="2">
        <f t="shared" si="0"/>
        <v>0</v>
      </c>
      <c r="H62" s="2">
        <f t="shared" si="1"/>
        <v>0</v>
      </c>
      <c r="I62" s="2">
        <f t="shared" si="2"/>
        <v>0</v>
      </c>
      <c r="J62" s="2">
        <f t="shared" si="3"/>
        <v>0</v>
      </c>
      <c r="K62" s="2">
        <f t="shared" si="4"/>
        <v>0</v>
      </c>
      <c r="L62" s="2">
        <f t="shared" si="5"/>
        <v>1</v>
      </c>
      <c r="M62" s="2">
        <f t="shared" si="6"/>
        <v>0</v>
      </c>
    </row>
    <row r="63" spans="1:13" x14ac:dyDescent="0.3">
      <c r="A63" s="2" t="s">
        <v>812</v>
      </c>
      <c r="B63" s="2" t="s">
        <v>92</v>
      </c>
      <c r="C63" s="2" t="s">
        <v>262</v>
      </c>
      <c r="D63" s="2" t="s">
        <v>1117</v>
      </c>
      <c r="E63" s="2" t="s">
        <v>1118</v>
      </c>
      <c r="F63" s="2"/>
      <c r="G63" s="2">
        <f t="shared" si="0"/>
        <v>0</v>
      </c>
      <c r="H63" s="2">
        <f t="shared" si="1"/>
        <v>0</v>
      </c>
      <c r="I63" s="2">
        <f t="shared" si="2"/>
        <v>0</v>
      </c>
      <c r="J63" s="2">
        <f t="shared" si="3"/>
        <v>0</v>
      </c>
      <c r="K63" s="2">
        <f t="shared" si="4"/>
        <v>0</v>
      </c>
      <c r="L63" s="2">
        <f t="shared" si="5"/>
        <v>0</v>
      </c>
      <c r="M63" s="2">
        <f t="shared" si="6"/>
        <v>1</v>
      </c>
    </row>
    <row r="64" spans="1:13" x14ac:dyDescent="0.3">
      <c r="A64" s="2" t="s">
        <v>876</v>
      </c>
      <c r="B64" s="2" t="s">
        <v>93</v>
      </c>
      <c r="C64" s="2" t="s">
        <v>243</v>
      </c>
      <c r="D64" s="2" t="s">
        <v>1120</v>
      </c>
      <c r="E64" s="2" t="s">
        <v>1121</v>
      </c>
      <c r="F64" s="2"/>
      <c r="G64" s="2">
        <f t="shared" si="0"/>
        <v>0</v>
      </c>
      <c r="H64" s="2">
        <f t="shared" si="1"/>
        <v>0</v>
      </c>
      <c r="I64" s="2">
        <f t="shared" si="2"/>
        <v>0</v>
      </c>
      <c r="J64" s="2">
        <f t="shared" si="3"/>
        <v>0</v>
      </c>
      <c r="K64" s="2">
        <f t="shared" si="4"/>
        <v>0</v>
      </c>
      <c r="L64" s="2">
        <f t="shared" si="5"/>
        <v>1</v>
      </c>
      <c r="M64" s="2">
        <f t="shared" si="6"/>
        <v>0</v>
      </c>
    </row>
    <row r="65" spans="1:13" x14ac:dyDescent="0.3">
      <c r="A65" s="2" t="s">
        <v>131</v>
      </c>
      <c r="B65" s="2" t="s">
        <v>94</v>
      </c>
      <c r="C65" s="2" t="s">
        <v>243</v>
      </c>
      <c r="D65" s="2" t="s">
        <v>1115</v>
      </c>
      <c r="E65" s="2" t="s">
        <v>1118</v>
      </c>
      <c r="F65" s="2"/>
      <c r="G65" s="2">
        <f t="shared" si="0"/>
        <v>0</v>
      </c>
      <c r="H65" s="2">
        <f t="shared" si="1"/>
        <v>1</v>
      </c>
      <c r="I65" s="2">
        <f t="shared" si="2"/>
        <v>0</v>
      </c>
      <c r="J65" s="2">
        <f t="shared" si="3"/>
        <v>0</v>
      </c>
      <c r="K65" s="2">
        <f t="shared" si="4"/>
        <v>0</v>
      </c>
      <c r="L65" s="2">
        <f t="shared" si="5"/>
        <v>1</v>
      </c>
      <c r="M65" s="2">
        <f t="shared" si="6"/>
        <v>0</v>
      </c>
    </row>
    <row r="66" spans="1:13" x14ac:dyDescent="0.3">
      <c r="A66" s="2" t="s">
        <v>896</v>
      </c>
      <c r="B66" s="2" t="s">
        <v>95</v>
      </c>
      <c r="C66" s="2" t="s">
        <v>262</v>
      </c>
      <c r="D66" s="2" t="s">
        <v>1121</v>
      </c>
      <c r="E66" s="2" t="s">
        <v>1116</v>
      </c>
      <c r="F66" s="2"/>
      <c r="G66" s="2">
        <f t="shared" si="0"/>
        <v>0</v>
      </c>
      <c r="H66" s="2">
        <f t="shared" si="1"/>
        <v>0</v>
      </c>
      <c r="I66" s="2">
        <f t="shared" si="2"/>
        <v>0</v>
      </c>
      <c r="J66" s="2">
        <f t="shared" si="3"/>
        <v>0</v>
      </c>
      <c r="K66" s="2">
        <f t="shared" si="4"/>
        <v>1</v>
      </c>
      <c r="L66" s="2">
        <f t="shared" si="5"/>
        <v>0</v>
      </c>
      <c r="M66" s="2">
        <f t="shared" si="6"/>
        <v>1</v>
      </c>
    </row>
    <row r="67" spans="1:13" x14ac:dyDescent="0.3">
      <c r="A67" s="2" t="s">
        <v>729</v>
      </c>
      <c r="B67" s="2" t="s">
        <v>96</v>
      </c>
      <c r="C67" s="2" t="s">
        <v>275</v>
      </c>
      <c r="D67" s="2" t="s">
        <v>1117</v>
      </c>
      <c r="E67" s="2" t="s">
        <v>1119</v>
      </c>
      <c r="F67" s="2"/>
      <c r="G67" s="2">
        <f t="shared" ref="G67:G130" si="7">IF(COUNTIF(C67:F67,"Community Activities")&gt;0,1,0)</f>
        <v>0</v>
      </c>
      <c r="H67" s="2">
        <f t="shared" ref="H67:H130" si="8">IF(COUNTIF(C67:F67," Employment Assistance")&gt;0,1,0)</f>
        <v>0</v>
      </c>
      <c r="I67" s="2">
        <f t="shared" ref="I67:I130" si="9">IF(COUNTIF(C67:F67,"Housing")&gt;0,1,0)</f>
        <v>0</v>
      </c>
      <c r="J67" s="2">
        <f t="shared" ref="J67:J130" si="10">IF(COUNTIF(C67:F67,"Medical")&gt;0,1,0)</f>
        <v>0</v>
      </c>
      <c r="K67" s="2">
        <f t="shared" ref="K67:K130" si="11">IF(COUNTIF(C67:F67," Schooling")&gt;0,1,0)</f>
        <v>0</v>
      </c>
      <c r="L67" s="2">
        <f t="shared" ref="L67:L130" si="12">IF(COUNTIF(C67:F67,"Transport")&gt;0,1,0)</f>
        <v>0</v>
      </c>
      <c r="M67" s="2">
        <f t="shared" ref="M67:M130" si="13">IF(COUNTIF(C67:F67,"Canteen")&gt;0,1,0)</f>
        <v>0</v>
      </c>
    </row>
    <row r="68" spans="1:13" x14ac:dyDescent="0.3">
      <c r="A68" s="2" t="s">
        <v>946</v>
      </c>
      <c r="B68" s="2" t="s">
        <v>97</v>
      </c>
      <c r="C68" s="2" t="s">
        <v>241</v>
      </c>
      <c r="D68" s="2" t="s">
        <v>1119</v>
      </c>
      <c r="E68" s="2" t="s">
        <v>1120</v>
      </c>
      <c r="F68" s="2"/>
      <c r="G68" s="2">
        <f t="shared" si="7"/>
        <v>0</v>
      </c>
      <c r="H68" s="2">
        <f t="shared" si="8"/>
        <v>0</v>
      </c>
      <c r="I68" s="2">
        <f t="shared" si="9"/>
        <v>0</v>
      </c>
      <c r="J68" s="2">
        <f t="shared" si="10"/>
        <v>1</v>
      </c>
      <c r="K68" s="2">
        <f t="shared" si="11"/>
        <v>0</v>
      </c>
      <c r="L68" s="2">
        <f t="shared" si="12"/>
        <v>0</v>
      </c>
      <c r="M68" s="2">
        <f t="shared" si="13"/>
        <v>0</v>
      </c>
    </row>
    <row r="69" spans="1:13" x14ac:dyDescent="0.3">
      <c r="A69" s="2" t="s">
        <v>200</v>
      </c>
      <c r="B69" s="2" t="s">
        <v>98</v>
      </c>
      <c r="C69" s="2" t="s">
        <v>262</v>
      </c>
      <c r="D69" s="2" t="s">
        <v>1119</v>
      </c>
      <c r="E69" s="2" t="s">
        <v>1115</v>
      </c>
      <c r="F69" s="2"/>
      <c r="G69" s="2">
        <f t="shared" si="7"/>
        <v>0</v>
      </c>
      <c r="H69" s="2">
        <f t="shared" si="8"/>
        <v>1</v>
      </c>
      <c r="I69" s="2">
        <f t="shared" si="9"/>
        <v>0</v>
      </c>
      <c r="J69" s="2">
        <f t="shared" si="10"/>
        <v>0</v>
      </c>
      <c r="K69" s="2">
        <f t="shared" si="11"/>
        <v>0</v>
      </c>
      <c r="L69" s="2">
        <f t="shared" si="12"/>
        <v>0</v>
      </c>
      <c r="M69" s="2">
        <f t="shared" si="13"/>
        <v>1</v>
      </c>
    </row>
    <row r="70" spans="1:13" x14ac:dyDescent="0.3">
      <c r="A70" s="2" t="s">
        <v>775</v>
      </c>
      <c r="B70" s="2" t="s">
        <v>99</v>
      </c>
      <c r="C70" s="2" t="s">
        <v>275</v>
      </c>
      <c r="D70" s="2" t="s">
        <v>1118</v>
      </c>
      <c r="E70" s="2"/>
      <c r="F70" s="2"/>
      <c r="G70" s="2">
        <f t="shared" si="7"/>
        <v>0</v>
      </c>
      <c r="H70" s="2">
        <f t="shared" si="8"/>
        <v>0</v>
      </c>
      <c r="I70" s="2">
        <f t="shared" si="9"/>
        <v>0</v>
      </c>
      <c r="J70" s="2">
        <f t="shared" si="10"/>
        <v>0</v>
      </c>
      <c r="K70" s="2">
        <f t="shared" si="11"/>
        <v>0</v>
      </c>
      <c r="L70" s="2">
        <f t="shared" si="12"/>
        <v>0</v>
      </c>
      <c r="M70" s="2">
        <f t="shared" si="13"/>
        <v>0</v>
      </c>
    </row>
    <row r="71" spans="1:13" x14ac:dyDescent="0.3">
      <c r="A71" s="2" t="s">
        <v>819</v>
      </c>
      <c r="B71" s="2" t="s">
        <v>100</v>
      </c>
      <c r="C71" s="2" t="s">
        <v>251</v>
      </c>
      <c r="D71" s="2"/>
      <c r="E71" s="2"/>
      <c r="F71" s="2"/>
      <c r="G71" s="2">
        <f t="shared" si="7"/>
        <v>0</v>
      </c>
      <c r="H71" s="2">
        <f t="shared" si="8"/>
        <v>0</v>
      </c>
      <c r="I71" s="2">
        <f t="shared" si="9"/>
        <v>1</v>
      </c>
      <c r="J71" s="2">
        <f t="shared" si="10"/>
        <v>0</v>
      </c>
      <c r="K71" s="2">
        <f t="shared" si="11"/>
        <v>0</v>
      </c>
      <c r="L71" s="2">
        <f t="shared" si="12"/>
        <v>0</v>
      </c>
      <c r="M71" s="2">
        <f t="shared" si="13"/>
        <v>0</v>
      </c>
    </row>
    <row r="72" spans="1:13" x14ac:dyDescent="0.3">
      <c r="A72" s="2" t="s">
        <v>137</v>
      </c>
      <c r="B72" s="2" t="s">
        <v>101</v>
      </c>
      <c r="C72" s="2" t="s">
        <v>255</v>
      </c>
      <c r="D72" s="2" t="s">
        <v>1118</v>
      </c>
      <c r="E72" s="2"/>
      <c r="F72" s="2"/>
      <c r="G72" s="2">
        <f t="shared" si="7"/>
        <v>1</v>
      </c>
      <c r="H72" s="2">
        <f t="shared" si="8"/>
        <v>0</v>
      </c>
      <c r="I72" s="2">
        <f t="shared" si="9"/>
        <v>0</v>
      </c>
      <c r="J72" s="2">
        <f t="shared" si="10"/>
        <v>0</v>
      </c>
      <c r="K72" s="2">
        <f t="shared" si="11"/>
        <v>0</v>
      </c>
      <c r="L72" s="2">
        <f t="shared" si="12"/>
        <v>0</v>
      </c>
      <c r="M72" s="2">
        <f t="shared" si="13"/>
        <v>0</v>
      </c>
    </row>
    <row r="73" spans="1:13" x14ac:dyDescent="0.3">
      <c r="A73" s="2" t="s">
        <v>797</v>
      </c>
      <c r="B73" s="2" t="s">
        <v>102</v>
      </c>
      <c r="C73" s="2" t="s">
        <v>251</v>
      </c>
      <c r="D73" s="2" t="s">
        <v>1120</v>
      </c>
      <c r="E73" s="2" t="s">
        <v>1116</v>
      </c>
      <c r="F73" s="2"/>
      <c r="G73" s="2">
        <f t="shared" si="7"/>
        <v>0</v>
      </c>
      <c r="H73" s="2">
        <f t="shared" si="8"/>
        <v>0</v>
      </c>
      <c r="I73" s="2">
        <f t="shared" si="9"/>
        <v>1</v>
      </c>
      <c r="J73" s="2">
        <f t="shared" si="10"/>
        <v>0</v>
      </c>
      <c r="K73" s="2">
        <f t="shared" si="11"/>
        <v>1</v>
      </c>
      <c r="L73" s="2">
        <f t="shared" si="12"/>
        <v>0</v>
      </c>
      <c r="M73" s="2">
        <f t="shared" si="13"/>
        <v>0</v>
      </c>
    </row>
    <row r="74" spans="1:13" x14ac:dyDescent="0.3">
      <c r="A74" s="2" t="s">
        <v>912</v>
      </c>
      <c r="B74" s="2" t="s">
        <v>103</v>
      </c>
      <c r="C74" s="2" t="s">
        <v>249</v>
      </c>
      <c r="D74" s="2" t="s">
        <v>1120</v>
      </c>
      <c r="E74" s="2" t="s">
        <v>1117</v>
      </c>
      <c r="F74" s="2"/>
      <c r="G74" s="2">
        <f t="shared" si="7"/>
        <v>0</v>
      </c>
      <c r="H74" s="2">
        <f t="shared" si="8"/>
        <v>0</v>
      </c>
      <c r="I74" s="2">
        <f t="shared" si="9"/>
        <v>0</v>
      </c>
      <c r="J74" s="2">
        <f t="shared" si="10"/>
        <v>0</v>
      </c>
      <c r="K74" s="2">
        <f t="shared" si="11"/>
        <v>0</v>
      </c>
      <c r="L74" s="2">
        <f t="shared" si="12"/>
        <v>0</v>
      </c>
      <c r="M74" s="2">
        <f t="shared" si="13"/>
        <v>0</v>
      </c>
    </row>
    <row r="75" spans="1:13" x14ac:dyDescent="0.3">
      <c r="A75" s="2" t="s">
        <v>838</v>
      </c>
      <c r="B75" s="2" t="s">
        <v>104</v>
      </c>
      <c r="C75" s="2" t="s">
        <v>241</v>
      </c>
      <c r="D75" s="2"/>
      <c r="E75" s="2"/>
      <c r="F75" s="2"/>
      <c r="G75" s="2">
        <f t="shared" si="7"/>
        <v>0</v>
      </c>
      <c r="H75" s="2">
        <f t="shared" si="8"/>
        <v>0</v>
      </c>
      <c r="I75" s="2">
        <f t="shared" si="9"/>
        <v>0</v>
      </c>
      <c r="J75" s="2">
        <f t="shared" si="10"/>
        <v>1</v>
      </c>
      <c r="K75" s="2">
        <f t="shared" si="11"/>
        <v>0</v>
      </c>
      <c r="L75" s="2">
        <f t="shared" si="12"/>
        <v>0</v>
      </c>
      <c r="M75" s="2">
        <f t="shared" si="13"/>
        <v>0</v>
      </c>
    </row>
    <row r="76" spans="1:13" x14ac:dyDescent="0.3">
      <c r="A76" s="2" t="s">
        <v>914</v>
      </c>
      <c r="B76" s="2" t="s">
        <v>105</v>
      </c>
      <c r="C76" s="2" t="s">
        <v>249</v>
      </c>
      <c r="D76" s="2"/>
      <c r="E76" s="2"/>
      <c r="F76" s="2"/>
      <c r="G76" s="2">
        <f t="shared" si="7"/>
        <v>0</v>
      </c>
      <c r="H76" s="2">
        <f t="shared" si="8"/>
        <v>0</v>
      </c>
      <c r="I76" s="2">
        <f t="shared" si="9"/>
        <v>0</v>
      </c>
      <c r="J76" s="2">
        <f t="shared" si="10"/>
        <v>0</v>
      </c>
      <c r="K76" s="2">
        <f t="shared" si="11"/>
        <v>0</v>
      </c>
      <c r="L76" s="2">
        <f t="shared" si="12"/>
        <v>0</v>
      </c>
      <c r="M76" s="2">
        <f t="shared" si="13"/>
        <v>0</v>
      </c>
    </row>
    <row r="77" spans="1:13" x14ac:dyDescent="0.3">
      <c r="A77" s="2" t="s">
        <v>948</v>
      </c>
      <c r="B77" s="2" t="s">
        <v>106</v>
      </c>
      <c r="C77" s="2" t="s">
        <v>251</v>
      </c>
      <c r="D77" s="2" t="s">
        <v>1118</v>
      </c>
      <c r="E77" s="2"/>
      <c r="F77" s="2"/>
      <c r="G77" s="2">
        <f t="shared" si="7"/>
        <v>0</v>
      </c>
      <c r="H77" s="2">
        <f t="shared" si="8"/>
        <v>0</v>
      </c>
      <c r="I77" s="2">
        <f t="shared" si="9"/>
        <v>1</v>
      </c>
      <c r="J77" s="2">
        <f t="shared" si="10"/>
        <v>0</v>
      </c>
      <c r="K77" s="2">
        <f t="shared" si="11"/>
        <v>0</v>
      </c>
      <c r="L77" s="2">
        <f t="shared" si="12"/>
        <v>0</v>
      </c>
      <c r="M77" s="2">
        <f t="shared" si="13"/>
        <v>0</v>
      </c>
    </row>
    <row r="78" spans="1:13" x14ac:dyDescent="0.3">
      <c r="A78" s="2" t="s">
        <v>906</v>
      </c>
      <c r="B78" s="2" t="s">
        <v>107</v>
      </c>
      <c r="C78" s="2" t="s">
        <v>251</v>
      </c>
      <c r="D78" s="2" t="s">
        <v>1120</v>
      </c>
      <c r="E78" s="2"/>
      <c r="F78" s="2"/>
      <c r="G78" s="2">
        <f t="shared" si="7"/>
        <v>0</v>
      </c>
      <c r="H78" s="2">
        <f t="shared" si="8"/>
        <v>0</v>
      </c>
      <c r="I78" s="2">
        <f t="shared" si="9"/>
        <v>1</v>
      </c>
      <c r="J78" s="2">
        <f t="shared" si="10"/>
        <v>0</v>
      </c>
      <c r="K78" s="2">
        <f t="shared" si="11"/>
        <v>0</v>
      </c>
      <c r="L78" s="2">
        <f t="shared" si="12"/>
        <v>0</v>
      </c>
      <c r="M78" s="2">
        <f t="shared" si="13"/>
        <v>0</v>
      </c>
    </row>
    <row r="79" spans="1:13" x14ac:dyDescent="0.3">
      <c r="A79" s="2" t="s">
        <v>704</v>
      </c>
      <c r="B79" s="2" t="s">
        <v>108</v>
      </c>
      <c r="C79" s="2" t="s">
        <v>249</v>
      </c>
      <c r="D79" s="2" t="s">
        <v>1116</v>
      </c>
      <c r="E79" s="2"/>
      <c r="F79" s="2"/>
      <c r="G79" s="2">
        <f t="shared" si="7"/>
        <v>0</v>
      </c>
      <c r="H79" s="2">
        <f t="shared" si="8"/>
        <v>0</v>
      </c>
      <c r="I79" s="2">
        <f t="shared" si="9"/>
        <v>0</v>
      </c>
      <c r="J79" s="2">
        <f t="shared" si="10"/>
        <v>0</v>
      </c>
      <c r="K79" s="2">
        <f t="shared" si="11"/>
        <v>1</v>
      </c>
      <c r="L79" s="2">
        <f t="shared" si="12"/>
        <v>0</v>
      </c>
      <c r="M79" s="2">
        <f t="shared" si="13"/>
        <v>0</v>
      </c>
    </row>
    <row r="80" spans="1:13" x14ac:dyDescent="0.3">
      <c r="A80" s="2" t="s">
        <v>703</v>
      </c>
      <c r="B80" s="2" t="s">
        <v>109</v>
      </c>
      <c r="C80" s="2" t="s">
        <v>262</v>
      </c>
      <c r="D80" s="2" t="s">
        <v>1121</v>
      </c>
      <c r="E80" s="2" t="s">
        <v>1116</v>
      </c>
      <c r="F80" s="2"/>
      <c r="G80" s="2">
        <f t="shared" si="7"/>
        <v>0</v>
      </c>
      <c r="H80" s="2">
        <f t="shared" si="8"/>
        <v>0</v>
      </c>
      <c r="I80" s="2">
        <f t="shared" si="9"/>
        <v>0</v>
      </c>
      <c r="J80" s="2">
        <f t="shared" si="10"/>
        <v>0</v>
      </c>
      <c r="K80" s="2">
        <f t="shared" si="11"/>
        <v>1</v>
      </c>
      <c r="L80" s="2">
        <f t="shared" si="12"/>
        <v>0</v>
      </c>
      <c r="M80" s="2">
        <f t="shared" si="13"/>
        <v>1</v>
      </c>
    </row>
    <row r="81" spans="1:13" x14ac:dyDescent="0.3">
      <c r="A81" s="2" t="s">
        <v>699</v>
      </c>
      <c r="B81" s="2" t="s">
        <v>110</v>
      </c>
      <c r="C81" s="2" t="s">
        <v>262</v>
      </c>
      <c r="D81" s="2" t="s">
        <v>1121</v>
      </c>
      <c r="E81" s="2"/>
      <c r="F81" s="2"/>
      <c r="G81" s="2">
        <f t="shared" si="7"/>
        <v>0</v>
      </c>
      <c r="H81" s="2">
        <f t="shared" si="8"/>
        <v>0</v>
      </c>
      <c r="I81" s="2">
        <f t="shared" si="9"/>
        <v>0</v>
      </c>
      <c r="J81" s="2">
        <f t="shared" si="10"/>
        <v>0</v>
      </c>
      <c r="K81" s="2">
        <f t="shared" si="11"/>
        <v>0</v>
      </c>
      <c r="L81" s="2">
        <f t="shared" si="12"/>
        <v>0</v>
      </c>
      <c r="M81" s="2">
        <f t="shared" si="13"/>
        <v>1</v>
      </c>
    </row>
    <row r="82" spans="1:13" x14ac:dyDescent="0.3">
      <c r="A82" s="2" t="s">
        <v>184</v>
      </c>
      <c r="B82" s="2" t="s">
        <v>111</v>
      </c>
      <c r="C82" s="2" t="s">
        <v>255</v>
      </c>
      <c r="D82" s="2"/>
      <c r="E82" s="2"/>
      <c r="F82" s="2"/>
      <c r="G82" s="2">
        <f t="shared" si="7"/>
        <v>1</v>
      </c>
      <c r="H82" s="2">
        <f t="shared" si="8"/>
        <v>0</v>
      </c>
      <c r="I82" s="2">
        <f t="shared" si="9"/>
        <v>0</v>
      </c>
      <c r="J82" s="2">
        <f t="shared" si="10"/>
        <v>0</v>
      </c>
      <c r="K82" s="2">
        <f t="shared" si="11"/>
        <v>0</v>
      </c>
      <c r="L82" s="2">
        <f t="shared" si="12"/>
        <v>0</v>
      </c>
      <c r="M82" s="2">
        <f t="shared" si="13"/>
        <v>0</v>
      </c>
    </row>
    <row r="83" spans="1:13" x14ac:dyDescent="0.3">
      <c r="A83" s="2" t="s">
        <v>779</v>
      </c>
      <c r="B83" s="2" t="s">
        <v>112</v>
      </c>
      <c r="C83" s="2" t="s">
        <v>275</v>
      </c>
      <c r="D83" s="2" t="s">
        <v>1115</v>
      </c>
      <c r="E83" s="2" t="s">
        <v>1117</v>
      </c>
      <c r="F83" s="2"/>
      <c r="G83" s="2">
        <f t="shared" si="7"/>
        <v>0</v>
      </c>
      <c r="H83" s="2">
        <f t="shared" si="8"/>
        <v>1</v>
      </c>
      <c r="I83" s="2">
        <f t="shared" si="9"/>
        <v>0</v>
      </c>
      <c r="J83" s="2">
        <f t="shared" si="10"/>
        <v>0</v>
      </c>
      <c r="K83" s="2">
        <f t="shared" si="11"/>
        <v>0</v>
      </c>
      <c r="L83" s="2">
        <f t="shared" si="12"/>
        <v>0</v>
      </c>
      <c r="M83" s="2">
        <f t="shared" si="13"/>
        <v>0</v>
      </c>
    </row>
    <row r="84" spans="1:13" x14ac:dyDescent="0.3">
      <c r="A84" s="2" t="s">
        <v>892</v>
      </c>
      <c r="B84" s="2" t="s">
        <v>113</v>
      </c>
      <c r="C84" s="2" t="s">
        <v>255</v>
      </c>
      <c r="D84" s="2" t="s">
        <v>1115</v>
      </c>
      <c r="E84" s="2"/>
      <c r="F84" s="2"/>
      <c r="G84" s="2">
        <f t="shared" si="7"/>
        <v>1</v>
      </c>
      <c r="H84" s="2">
        <f t="shared" si="8"/>
        <v>1</v>
      </c>
      <c r="I84" s="2">
        <f t="shared" si="9"/>
        <v>0</v>
      </c>
      <c r="J84" s="2">
        <f t="shared" si="10"/>
        <v>0</v>
      </c>
      <c r="K84" s="2">
        <f t="shared" si="11"/>
        <v>0</v>
      </c>
      <c r="L84" s="2">
        <f t="shared" si="12"/>
        <v>0</v>
      </c>
      <c r="M84" s="2">
        <f t="shared" si="13"/>
        <v>0</v>
      </c>
    </row>
    <row r="85" spans="1:13" x14ac:dyDescent="0.3">
      <c r="A85" s="2" t="s">
        <v>807</v>
      </c>
      <c r="B85" s="2" t="s">
        <v>114</v>
      </c>
      <c r="C85" s="2" t="s">
        <v>251</v>
      </c>
      <c r="D85" s="2" t="s">
        <v>1117</v>
      </c>
      <c r="E85" s="2"/>
      <c r="F85" s="2"/>
      <c r="G85" s="2">
        <f t="shared" si="7"/>
        <v>0</v>
      </c>
      <c r="H85" s="2">
        <f t="shared" si="8"/>
        <v>0</v>
      </c>
      <c r="I85" s="2">
        <f t="shared" si="9"/>
        <v>1</v>
      </c>
      <c r="J85" s="2">
        <f t="shared" si="10"/>
        <v>0</v>
      </c>
      <c r="K85" s="2">
        <f t="shared" si="11"/>
        <v>0</v>
      </c>
      <c r="L85" s="2">
        <f t="shared" si="12"/>
        <v>0</v>
      </c>
      <c r="M85" s="2">
        <f t="shared" si="13"/>
        <v>0</v>
      </c>
    </row>
    <row r="86" spans="1:13" x14ac:dyDescent="0.3">
      <c r="A86" s="2" t="s">
        <v>944</v>
      </c>
      <c r="B86" s="2" t="s">
        <v>115</v>
      </c>
      <c r="C86" s="2" t="s">
        <v>243</v>
      </c>
      <c r="D86" s="2"/>
      <c r="E86" s="2"/>
      <c r="F86" s="2"/>
      <c r="G86" s="2">
        <f t="shared" si="7"/>
        <v>0</v>
      </c>
      <c r="H86" s="2">
        <f t="shared" si="8"/>
        <v>0</v>
      </c>
      <c r="I86" s="2">
        <f t="shared" si="9"/>
        <v>0</v>
      </c>
      <c r="J86" s="2">
        <f t="shared" si="10"/>
        <v>0</v>
      </c>
      <c r="K86" s="2">
        <f t="shared" si="11"/>
        <v>0</v>
      </c>
      <c r="L86" s="2">
        <f t="shared" si="12"/>
        <v>1</v>
      </c>
      <c r="M86" s="2">
        <f t="shared" si="13"/>
        <v>0</v>
      </c>
    </row>
    <row r="87" spans="1:13" x14ac:dyDescent="0.3">
      <c r="A87" s="2" t="s">
        <v>865</v>
      </c>
      <c r="B87" s="2" t="s">
        <v>116</v>
      </c>
      <c r="C87" s="2" t="s">
        <v>251</v>
      </c>
      <c r="D87" s="2"/>
      <c r="E87" s="2"/>
      <c r="F87" s="2"/>
      <c r="G87" s="2">
        <f t="shared" si="7"/>
        <v>0</v>
      </c>
      <c r="H87" s="2">
        <f t="shared" si="8"/>
        <v>0</v>
      </c>
      <c r="I87" s="2">
        <f t="shared" si="9"/>
        <v>1</v>
      </c>
      <c r="J87" s="2">
        <f t="shared" si="10"/>
        <v>0</v>
      </c>
      <c r="K87" s="2">
        <f t="shared" si="11"/>
        <v>0</v>
      </c>
      <c r="L87" s="2">
        <f t="shared" si="12"/>
        <v>0</v>
      </c>
      <c r="M87" s="2">
        <f t="shared" si="13"/>
        <v>0</v>
      </c>
    </row>
    <row r="88" spans="1:13" x14ac:dyDescent="0.3">
      <c r="A88" s="2" t="s">
        <v>851</v>
      </c>
      <c r="B88" s="2" t="s">
        <v>117</v>
      </c>
      <c r="C88" s="2" t="s">
        <v>241</v>
      </c>
      <c r="D88" s="2"/>
      <c r="E88" s="2"/>
      <c r="F88" s="2"/>
      <c r="G88" s="2">
        <f t="shared" si="7"/>
        <v>0</v>
      </c>
      <c r="H88" s="2">
        <f t="shared" si="8"/>
        <v>0</v>
      </c>
      <c r="I88" s="2">
        <f t="shared" si="9"/>
        <v>0</v>
      </c>
      <c r="J88" s="2">
        <f t="shared" si="10"/>
        <v>1</v>
      </c>
      <c r="K88" s="2">
        <f t="shared" si="11"/>
        <v>0</v>
      </c>
      <c r="L88" s="2">
        <f t="shared" si="12"/>
        <v>0</v>
      </c>
      <c r="M88" s="2">
        <f t="shared" si="13"/>
        <v>0</v>
      </c>
    </row>
    <row r="89" spans="1:13" x14ac:dyDescent="0.3">
      <c r="A89" s="2" t="s">
        <v>913</v>
      </c>
      <c r="B89" s="2" t="s">
        <v>118</v>
      </c>
      <c r="C89" s="2" t="s">
        <v>251</v>
      </c>
      <c r="D89" s="2" t="s">
        <v>1117</v>
      </c>
      <c r="E89" s="2" t="s">
        <v>1118</v>
      </c>
      <c r="F89" s="2"/>
      <c r="G89" s="2">
        <f t="shared" si="7"/>
        <v>0</v>
      </c>
      <c r="H89" s="2">
        <f t="shared" si="8"/>
        <v>0</v>
      </c>
      <c r="I89" s="2">
        <f t="shared" si="9"/>
        <v>1</v>
      </c>
      <c r="J89" s="2">
        <f t="shared" si="10"/>
        <v>0</v>
      </c>
      <c r="K89" s="2">
        <f t="shared" si="11"/>
        <v>0</v>
      </c>
      <c r="L89" s="2">
        <f t="shared" si="12"/>
        <v>0</v>
      </c>
      <c r="M89" s="2">
        <f t="shared" si="13"/>
        <v>0</v>
      </c>
    </row>
    <row r="90" spans="1:13" x14ac:dyDescent="0.3">
      <c r="A90" s="2" t="s">
        <v>726</v>
      </c>
      <c r="B90" s="2" t="s">
        <v>119</v>
      </c>
      <c r="C90" s="2" t="s">
        <v>241</v>
      </c>
      <c r="D90" s="2" t="s">
        <v>1121</v>
      </c>
      <c r="E90" s="2"/>
      <c r="F90" s="2"/>
      <c r="G90" s="2">
        <f t="shared" si="7"/>
        <v>0</v>
      </c>
      <c r="H90" s="2">
        <f t="shared" si="8"/>
        <v>0</v>
      </c>
      <c r="I90" s="2">
        <f t="shared" si="9"/>
        <v>0</v>
      </c>
      <c r="J90" s="2">
        <f t="shared" si="10"/>
        <v>1</v>
      </c>
      <c r="K90" s="2">
        <f t="shared" si="11"/>
        <v>0</v>
      </c>
      <c r="L90" s="2">
        <f t="shared" si="12"/>
        <v>0</v>
      </c>
      <c r="M90" s="2">
        <f t="shared" si="13"/>
        <v>0</v>
      </c>
    </row>
    <row r="91" spans="1:13" x14ac:dyDescent="0.3">
      <c r="A91" s="2" t="s">
        <v>910</v>
      </c>
      <c r="B91" s="2" t="s">
        <v>120</v>
      </c>
      <c r="C91" s="2" t="s">
        <v>255</v>
      </c>
      <c r="D91" s="2"/>
      <c r="E91" s="2"/>
      <c r="F91" s="2"/>
      <c r="G91" s="2">
        <f t="shared" si="7"/>
        <v>1</v>
      </c>
      <c r="H91" s="2">
        <f t="shared" si="8"/>
        <v>0</v>
      </c>
      <c r="I91" s="2">
        <f t="shared" si="9"/>
        <v>0</v>
      </c>
      <c r="J91" s="2">
        <f t="shared" si="10"/>
        <v>0</v>
      </c>
      <c r="K91" s="2">
        <f t="shared" si="11"/>
        <v>0</v>
      </c>
      <c r="L91" s="2">
        <f t="shared" si="12"/>
        <v>0</v>
      </c>
      <c r="M91" s="2">
        <f t="shared" si="13"/>
        <v>0</v>
      </c>
    </row>
    <row r="92" spans="1:13" x14ac:dyDescent="0.3">
      <c r="A92" s="2" t="s">
        <v>792</v>
      </c>
      <c r="B92" s="2" t="s">
        <v>121</v>
      </c>
      <c r="C92" s="2" t="s">
        <v>262</v>
      </c>
      <c r="D92" s="2" t="s">
        <v>1117</v>
      </c>
      <c r="E92" s="2" t="s">
        <v>1115</v>
      </c>
      <c r="F92" s="2"/>
      <c r="G92" s="2">
        <f t="shared" si="7"/>
        <v>0</v>
      </c>
      <c r="H92" s="2">
        <f t="shared" si="8"/>
        <v>1</v>
      </c>
      <c r="I92" s="2">
        <f t="shared" si="9"/>
        <v>0</v>
      </c>
      <c r="J92" s="2">
        <f t="shared" si="10"/>
        <v>0</v>
      </c>
      <c r="K92" s="2">
        <f t="shared" si="11"/>
        <v>0</v>
      </c>
      <c r="L92" s="2">
        <f t="shared" si="12"/>
        <v>0</v>
      </c>
      <c r="M92" s="2">
        <f t="shared" si="13"/>
        <v>1</v>
      </c>
    </row>
    <row r="93" spans="1:13" x14ac:dyDescent="0.3">
      <c r="A93" s="2" t="s">
        <v>848</v>
      </c>
      <c r="B93" s="2" t="s">
        <v>122</v>
      </c>
      <c r="C93" s="2" t="s">
        <v>249</v>
      </c>
      <c r="D93" s="2"/>
      <c r="E93" s="2"/>
      <c r="F93" s="2"/>
      <c r="G93" s="2">
        <f t="shared" si="7"/>
        <v>0</v>
      </c>
      <c r="H93" s="2">
        <f t="shared" si="8"/>
        <v>0</v>
      </c>
      <c r="I93" s="2">
        <f t="shared" si="9"/>
        <v>0</v>
      </c>
      <c r="J93" s="2">
        <f t="shared" si="10"/>
        <v>0</v>
      </c>
      <c r="K93" s="2">
        <f t="shared" si="11"/>
        <v>0</v>
      </c>
      <c r="L93" s="2">
        <f t="shared" si="12"/>
        <v>0</v>
      </c>
      <c r="M93" s="2">
        <f t="shared" si="13"/>
        <v>0</v>
      </c>
    </row>
    <row r="94" spans="1:13" x14ac:dyDescent="0.3">
      <c r="A94" s="2" t="s">
        <v>835</v>
      </c>
      <c r="B94" s="2" t="s">
        <v>123</v>
      </c>
      <c r="C94" s="2" t="s">
        <v>275</v>
      </c>
      <c r="D94" s="2" t="s">
        <v>1119</v>
      </c>
      <c r="E94" s="2" t="s">
        <v>1120</v>
      </c>
      <c r="F94" s="2"/>
      <c r="G94" s="2">
        <f t="shared" si="7"/>
        <v>0</v>
      </c>
      <c r="H94" s="2">
        <f t="shared" si="8"/>
        <v>0</v>
      </c>
      <c r="I94" s="2">
        <f t="shared" si="9"/>
        <v>0</v>
      </c>
      <c r="J94" s="2">
        <f t="shared" si="10"/>
        <v>0</v>
      </c>
      <c r="K94" s="2">
        <f t="shared" si="11"/>
        <v>0</v>
      </c>
      <c r="L94" s="2">
        <f t="shared" si="12"/>
        <v>0</v>
      </c>
      <c r="M94" s="2">
        <f t="shared" si="13"/>
        <v>0</v>
      </c>
    </row>
    <row r="95" spans="1:13" x14ac:dyDescent="0.3">
      <c r="A95" s="2" t="s">
        <v>761</v>
      </c>
      <c r="B95" s="2" t="s">
        <v>124</v>
      </c>
      <c r="C95" s="2" t="s">
        <v>243</v>
      </c>
      <c r="D95" s="2" t="s">
        <v>1120</v>
      </c>
      <c r="E95" s="2"/>
      <c r="F95" s="2"/>
      <c r="G95" s="2">
        <f t="shared" si="7"/>
        <v>0</v>
      </c>
      <c r="H95" s="2">
        <f t="shared" si="8"/>
        <v>0</v>
      </c>
      <c r="I95" s="2">
        <f t="shared" si="9"/>
        <v>0</v>
      </c>
      <c r="J95" s="2">
        <f t="shared" si="10"/>
        <v>0</v>
      </c>
      <c r="K95" s="2">
        <f t="shared" si="11"/>
        <v>0</v>
      </c>
      <c r="L95" s="2">
        <f t="shared" si="12"/>
        <v>1</v>
      </c>
      <c r="M95" s="2">
        <f t="shared" si="13"/>
        <v>0</v>
      </c>
    </row>
    <row r="96" spans="1:13" x14ac:dyDescent="0.3">
      <c r="A96" s="2" t="s">
        <v>721</v>
      </c>
      <c r="B96" s="2" t="s">
        <v>125</v>
      </c>
      <c r="C96" s="2" t="s">
        <v>275</v>
      </c>
      <c r="D96" s="2" t="s">
        <v>1115</v>
      </c>
      <c r="E96" s="2" t="s">
        <v>1120</v>
      </c>
      <c r="F96" s="2"/>
      <c r="G96" s="2">
        <f t="shared" si="7"/>
        <v>0</v>
      </c>
      <c r="H96" s="2">
        <f t="shared" si="8"/>
        <v>1</v>
      </c>
      <c r="I96" s="2">
        <f t="shared" si="9"/>
        <v>0</v>
      </c>
      <c r="J96" s="2">
        <f t="shared" si="10"/>
        <v>0</v>
      </c>
      <c r="K96" s="2">
        <f t="shared" si="11"/>
        <v>0</v>
      </c>
      <c r="L96" s="2">
        <f t="shared" si="12"/>
        <v>0</v>
      </c>
      <c r="M96" s="2">
        <f t="shared" si="13"/>
        <v>0</v>
      </c>
    </row>
    <row r="97" spans="1:13" x14ac:dyDescent="0.3">
      <c r="A97" s="2" t="s">
        <v>160</v>
      </c>
      <c r="B97" s="2" t="s">
        <v>126</v>
      </c>
      <c r="C97" s="2" t="s">
        <v>243</v>
      </c>
      <c r="D97" s="2" t="s">
        <v>1120</v>
      </c>
      <c r="E97" s="2"/>
      <c r="F97" s="2"/>
      <c r="G97" s="2">
        <f t="shared" si="7"/>
        <v>0</v>
      </c>
      <c r="H97" s="2">
        <f t="shared" si="8"/>
        <v>0</v>
      </c>
      <c r="I97" s="2">
        <f t="shared" si="9"/>
        <v>0</v>
      </c>
      <c r="J97" s="2">
        <f t="shared" si="10"/>
        <v>0</v>
      </c>
      <c r="K97" s="2">
        <f t="shared" si="11"/>
        <v>0</v>
      </c>
      <c r="L97" s="2">
        <f t="shared" si="12"/>
        <v>1</v>
      </c>
      <c r="M97" s="2">
        <f t="shared" si="13"/>
        <v>0</v>
      </c>
    </row>
    <row r="98" spans="1:13" x14ac:dyDescent="0.3">
      <c r="A98" s="2" t="s">
        <v>887</v>
      </c>
      <c r="B98" s="2" t="s">
        <v>127</v>
      </c>
      <c r="C98" s="2" t="s">
        <v>241</v>
      </c>
      <c r="D98" s="2" t="s">
        <v>1117</v>
      </c>
      <c r="E98" s="2"/>
      <c r="F98" s="2"/>
      <c r="G98" s="2">
        <f t="shared" si="7"/>
        <v>0</v>
      </c>
      <c r="H98" s="2">
        <f t="shared" si="8"/>
        <v>0</v>
      </c>
      <c r="I98" s="2">
        <f t="shared" si="9"/>
        <v>0</v>
      </c>
      <c r="J98" s="2">
        <f t="shared" si="10"/>
        <v>1</v>
      </c>
      <c r="K98" s="2">
        <f t="shared" si="11"/>
        <v>0</v>
      </c>
      <c r="L98" s="2">
        <f t="shared" si="12"/>
        <v>0</v>
      </c>
      <c r="M98" s="2">
        <f t="shared" si="13"/>
        <v>0</v>
      </c>
    </row>
    <row r="99" spans="1:13" x14ac:dyDescent="0.3">
      <c r="A99" s="2" t="s">
        <v>689</v>
      </c>
      <c r="B99" s="2" t="s">
        <v>128</v>
      </c>
      <c r="C99" s="2" t="s">
        <v>241</v>
      </c>
      <c r="D99" s="2" t="s">
        <v>1115</v>
      </c>
      <c r="E99" s="2"/>
      <c r="F99" s="2"/>
      <c r="G99" s="2">
        <f t="shared" si="7"/>
        <v>0</v>
      </c>
      <c r="H99" s="2">
        <f t="shared" si="8"/>
        <v>1</v>
      </c>
      <c r="I99" s="2">
        <f t="shared" si="9"/>
        <v>0</v>
      </c>
      <c r="J99" s="2">
        <f t="shared" si="10"/>
        <v>1</v>
      </c>
      <c r="K99" s="2">
        <f t="shared" si="11"/>
        <v>0</v>
      </c>
      <c r="L99" s="2">
        <f t="shared" si="12"/>
        <v>0</v>
      </c>
      <c r="M99" s="2">
        <f t="shared" si="13"/>
        <v>0</v>
      </c>
    </row>
    <row r="100" spans="1:13" x14ac:dyDescent="0.3">
      <c r="A100" s="2" t="s">
        <v>898</v>
      </c>
      <c r="B100" s="2" t="s">
        <v>129</v>
      </c>
      <c r="C100" s="2" t="s">
        <v>275</v>
      </c>
      <c r="D100" s="2" t="s">
        <v>1118</v>
      </c>
      <c r="E100" s="2" t="s">
        <v>1119</v>
      </c>
      <c r="F100" s="2"/>
      <c r="G100" s="2">
        <f t="shared" si="7"/>
        <v>0</v>
      </c>
      <c r="H100" s="2">
        <f t="shared" si="8"/>
        <v>0</v>
      </c>
      <c r="I100" s="2">
        <f t="shared" si="9"/>
        <v>0</v>
      </c>
      <c r="J100" s="2">
        <f t="shared" si="10"/>
        <v>0</v>
      </c>
      <c r="K100" s="2">
        <f t="shared" si="11"/>
        <v>0</v>
      </c>
      <c r="L100" s="2">
        <f t="shared" si="12"/>
        <v>0</v>
      </c>
      <c r="M100" s="2">
        <f t="shared" si="13"/>
        <v>0</v>
      </c>
    </row>
    <row r="101" spans="1:13" x14ac:dyDescent="0.3">
      <c r="A101" s="2" t="s">
        <v>872</v>
      </c>
      <c r="B101" s="2" t="s">
        <v>130</v>
      </c>
      <c r="C101" s="2" t="s">
        <v>241</v>
      </c>
      <c r="D101" s="2" t="s">
        <v>1120</v>
      </c>
      <c r="E101" s="2"/>
      <c r="F101" s="2"/>
      <c r="G101" s="2">
        <f t="shared" si="7"/>
        <v>0</v>
      </c>
      <c r="H101" s="2">
        <f t="shared" si="8"/>
        <v>0</v>
      </c>
      <c r="I101" s="2">
        <f t="shared" si="9"/>
        <v>0</v>
      </c>
      <c r="J101" s="2">
        <f t="shared" si="10"/>
        <v>1</v>
      </c>
      <c r="K101" s="2">
        <f t="shared" si="11"/>
        <v>0</v>
      </c>
      <c r="L101" s="2">
        <f t="shared" si="12"/>
        <v>0</v>
      </c>
      <c r="M101" s="2">
        <f t="shared" si="13"/>
        <v>0</v>
      </c>
    </row>
    <row r="102" spans="1:13" x14ac:dyDescent="0.3">
      <c r="A102" s="2" t="s">
        <v>140</v>
      </c>
      <c r="B102" s="2" t="s">
        <v>527</v>
      </c>
      <c r="C102" s="2" t="s">
        <v>243</v>
      </c>
      <c r="D102" s="2"/>
      <c r="E102" s="2"/>
      <c r="F102" s="2"/>
      <c r="G102" s="2">
        <f t="shared" si="7"/>
        <v>0</v>
      </c>
      <c r="H102" s="2">
        <f t="shared" si="8"/>
        <v>0</v>
      </c>
      <c r="I102" s="2">
        <f t="shared" si="9"/>
        <v>0</v>
      </c>
      <c r="J102" s="2">
        <f t="shared" si="10"/>
        <v>0</v>
      </c>
      <c r="K102" s="2">
        <f t="shared" si="11"/>
        <v>0</v>
      </c>
      <c r="L102" s="2">
        <f t="shared" si="12"/>
        <v>1</v>
      </c>
      <c r="M102" s="2">
        <f t="shared" si="13"/>
        <v>0</v>
      </c>
    </row>
    <row r="103" spans="1:13" x14ac:dyDescent="0.3">
      <c r="A103" s="2" t="s">
        <v>822</v>
      </c>
      <c r="B103" s="2" t="s">
        <v>528</v>
      </c>
      <c r="C103" s="2" t="s">
        <v>255</v>
      </c>
      <c r="D103" s="2" t="s">
        <v>1115</v>
      </c>
      <c r="E103" s="2"/>
      <c r="F103" s="2"/>
      <c r="G103" s="2">
        <f t="shared" si="7"/>
        <v>1</v>
      </c>
      <c r="H103" s="2">
        <f t="shared" si="8"/>
        <v>1</v>
      </c>
      <c r="I103" s="2">
        <f t="shared" si="9"/>
        <v>0</v>
      </c>
      <c r="J103" s="2">
        <f t="shared" si="10"/>
        <v>0</v>
      </c>
      <c r="K103" s="2">
        <f t="shared" si="11"/>
        <v>0</v>
      </c>
      <c r="L103" s="2">
        <f t="shared" si="12"/>
        <v>0</v>
      </c>
      <c r="M103" s="2">
        <f t="shared" si="13"/>
        <v>0</v>
      </c>
    </row>
    <row r="104" spans="1:13" x14ac:dyDescent="0.3">
      <c r="A104" s="2" t="s">
        <v>881</v>
      </c>
      <c r="B104" s="2" t="s">
        <v>529</v>
      </c>
      <c r="C104" s="2" t="s">
        <v>241</v>
      </c>
      <c r="D104" s="2"/>
      <c r="E104" s="2"/>
      <c r="F104" s="2"/>
      <c r="G104" s="2">
        <f t="shared" si="7"/>
        <v>0</v>
      </c>
      <c r="H104" s="2">
        <f t="shared" si="8"/>
        <v>0</v>
      </c>
      <c r="I104" s="2">
        <f t="shared" si="9"/>
        <v>0</v>
      </c>
      <c r="J104" s="2">
        <f t="shared" si="10"/>
        <v>1</v>
      </c>
      <c r="K104" s="2">
        <f t="shared" si="11"/>
        <v>0</v>
      </c>
      <c r="L104" s="2">
        <f t="shared" si="12"/>
        <v>0</v>
      </c>
      <c r="M104" s="2">
        <f t="shared" si="13"/>
        <v>0</v>
      </c>
    </row>
    <row r="105" spans="1:13" x14ac:dyDescent="0.3">
      <c r="A105" s="2" t="s">
        <v>1110</v>
      </c>
      <c r="B105" s="2" t="s">
        <v>530</v>
      </c>
      <c r="C105" s="2" t="s">
        <v>249</v>
      </c>
      <c r="D105" s="2" t="s">
        <v>1117</v>
      </c>
      <c r="E105" s="2" t="s">
        <v>1119</v>
      </c>
      <c r="F105" s="2"/>
      <c r="G105" s="2">
        <f t="shared" si="7"/>
        <v>0</v>
      </c>
      <c r="H105" s="2">
        <f t="shared" si="8"/>
        <v>0</v>
      </c>
      <c r="I105" s="2">
        <f t="shared" si="9"/>
        <v>0</v>
      </c>
      <c r="J105" s="2">
        <f t="shared" si="10"/>
        <v>0</v>
      </c>
      <c r="K105" s="2">
        <f t="shared" si="11"/>
        <v>0</v>
      </c>
      <c r="L105" s="2">
        <f t="shared" si="12"/>
        <v>0</v>
      </c>
      <c r="M105" s="2">
        <f t="shared" si="13"/>
        <v>0</v>
      </c>
    </row>
    <row r="106" spans="1:13" x14ac:dyDescent="0.3">
      <c r="A106" s="2" t="s">
        <v>930</v>
      </c>
      <c r="B106" s="2" t="s">
        <v>531</v>
      </c>
      <c r="C106" s="2" t="s">
        <v>243</v>
      </c>
      <c r="D106" s="2"/>
      <c r="E106" s="2"/>
      <c r="F106" s="2"/>
      <c r="G106" s="2">
        <f t="shared" si="7"/>
        <v>0</v>
      </c>
      <c r="H106" s="2">
        <f t="shared" si="8"/>
        <v>0</v>
      </c>
      <c r="I106" s="2">
        <f t="shared" si="9"/>
        <v>0</v>
      </c>
      <c r="J106" s="2">
        <f t="shared" si="10"/>
        <v>0</v>
      </c>
      <c r="K106" s="2">
        <f t="shared" si="11"/>
        <v>0</v>
      </c>
      <c r="L106" s="2">
        <f t="shared" si="12"/>
        <v>1</v>
      </c>
      <c r="M106" s="2">
        <f t="shared" si="13"/>
        <v>0</v>
      </c>
    </row>
    <row r="107" spans="1:13" x14ac:dyDescent="0.3">
      <c r="A107" s="2" t="s">
        <v>696</v>
      </c>
      <c r="B107" s="2" t="s">
        <v>530</v>
      </c>
      <c r="C107" s="2" t="s">
        <v>249</v>
      </c>
      <c r="D107" s="2"/>
      <c r="E107" s="2"/>
      <c r="F107" s="2"/>
      <c r="G107" s="2">
        <f t="shared" si="7"/>
        <v>0</v>
      </c>
      <c r="H107" s="2">
        <f t="shared" si="8"/>
        <v>0</v>
      </c>
      <c r="I107" s="2">
        <f t="shared" si="9"/>
        <v>0</v>
      </c>
      <c r="J107" s="2">
        <f t="shared" si="10"/>
        <v>0</v>
      </c>
      <c r="K107" s="2">
        <f t="shared" si="11"/>
        <v>0</v>
      </c>
      <c r="L107" s="2">
        <f t="shared" si="12"/>
        <v>0</v>
      </c>
      <c r="M107" s="2">
        <f t="shared" si="13"/>
        <v>0</v>
      </c>
    </row>
    <row r="108" spans="1:13" x14ac:dyDescent="0.3">
      <c r="A108" s="2" t="s">
        <v>723</v>
      </c>
      <c r="B108" s="2" t="s">
        <v>532</v>
      </c>
      <c r="C108" s="2" t="s">
        <v>249</v>
      </c>
      <c r="D108" s="2"/>
      <c r="E108" s="2"/>
      <c r="F108" s="2"/>
      <c r="G108" s="2">
        <f t="shared" si="7"/>
        <v>0</v>
      </c>
      <c r="H108" s="2">
        <f t="shared" si="8"/>
        <v>0</v>
      </c>
      <c r="I108" s="2">
        <f t="shared" si="9"/>
        <v>0</v>
      </c>
      <c r="J108" s="2">
        <f t="shared" si="10"/>
        <v>0</v>
      </c>
      <c r="K108" s="2">
        <f t="shared" si="11"/>
        <v>0</v>
      </c>
      <c r="L108" s="2">
        <f t="shared" si="12"/>
        <v>0</v>
      </c>
      <c r="M108" s="2">
        <f t="shared" si="13"/>
        <v>0</v>
      </c>
    </row>
    <row r="109" spans="1:13" x14ac:dyDescent="0.3">
      <c r="A109" s="2" t="s">
        <v>921</v>
      </c>
      <c r="B109" s="2" t="s">
        <v>533</v>
      </c>
      <c r="C109" s="2" t="s">
        <v>249</v>
      </c>
      <c r="D109" s="2" t="s">
        <v>1118</v>
      </c>
      <c r="E109" s="2" t="s">
        <v>1120</v>
      </c>
      <c r="F109" s="2" t="s">
        <v>1121</v>
      </c>
      <c r="G109" s="2">
        <f t="shared" si="7"/>
        <v>0</v>
      </c>
      <c r="H109" s="2">
        <f t="shared" si="8"/>
        <v>0</v>
      </c>
      <c r="I109" s="2">
        <f t="shared" si="9"/>
        <v>0</v>
      </c>
      <c r="J109" s="2">
        <f t="shared" si="10"/>
        <v>0</v>
      </c>
      <c r="K109" s="2">
        <f t="shared" si="11"/>
        <v>0</v>
      </c>
      <c r="L109" s="2">
        <f t="shared" si="12"/>
        <v>0</v>
      </c>
      <c r="M109" s="2">
        <f t="shared" si="13"/>
        <v>0</v>
      </c>
    </row>
    <row r="110" spans="1:13" x14ac:dyDescent="0.3">
      <c r="A110" s="2" t="s">
        <v>192</v>
      </c>
      <c r="B110" s="2" t="s">
        <v>534</v>
      </c>
      <c r="C110" s="2" t="s">
        <v>251</v>
      </c>
      <c r="D110" s="2" t="s">
        <v>1116</v>
      </c>
      <c r="E110" s="2" t="s">
        <v>1120</v>
      </c>
      <c r="F110" s="2" t="s">
        <v>1121</v>
      </c>
      <c r="G110" s="2">
        <f t="shared" si="7"/>
        <v>0</v>
      </c>
      <c r="H110" s="2">
        <f t="shared" si="8"/>
        <v>0</v>
      </c>
      <c r="I110" s="2">
        <f t="shared" si="9"/>
        <v>1</v>
      </c>
      <c r="J110" s="2">
        <f t="shared" si="10"/>
        <v>0</v>
      </c>
      <c r="K110" s="2">
        <f t="shared" si="11"/>
        <v>1</v>
      </c>
      <c r="L110" s="2">
        <f t="shared" si="12"/>
        <v>0</v>
      </c>
      <c r="M110" s="2">
        <f t="shared" si="13"/>
        <v>0</v>
      </c>
    </row>
    <row r="111" spans="1:13" x14ac:dyDescent="0.3">
      <c r="A111" s="2" t="s">
        <v>836</v>
      </c>
      <c r="B111" s="2" t="s">
        <v>535</v>
      </c>
      <c r="C111" s="2" t="s">
        <v>243</v>
      </c>
      <c r="D111" s="2"/>
      <c r="E111" s="2"/>
      <c r="F111" s="2"/>
      <c r="G111" s="2">
        <f t="shared" si="7"/>
        <v>0</v>
      </c>
      <c r="H111" s="2">
        <f t="shared" si="8"/>
        <v>0</v>
      </c>
      <c r="I111" s="2">
        <f t="shared" si="9"/>
        <v>0</v>
      </c>
      <c r="J111" s="2">
        <f t="shared" si="10"/>
        <v>0</v>
      </c>
      <c r="K111" s="2">
        <f t="shared" si="11"/>
        <v>0</v>
      </c>
      <c r="L111" s="2">
        <f t="shared" si="12"/>
        <v>1</v>
      </c>
      <c r="M111" s="2">
        <f t="shared" si="13"/>
        <v>0</v>
      </c>
    </row>
    <row r="112" spans="1:13" x14ac:dyDescent="0.3">
      <c r="A112" s="2" t="s">
        <v>783</v>
      </c>
      <c r="B112" s="2" t="s">
        <v>528</v>
      </c>
      <c r="C112" s="2" t="s">
        <v>255</v>
      </c>
      <c r="D112" s="2" t="s">
        <v>1115</v>
      </c>
      <c r="E112" s="2" t="s">
        <v>1117</v>
      </c>
      <c r="F112" s="2"/>
      <c r="G112" s="2">
        <f t="shared" si="7"/>
        <v>1</v>
      </c>
      <c r="H112" s="2">
        <f t="shared" si="8"/>
        <v>1</v>
      </c>
      <c r="I112" s="2">
        <f t="shared" si="9"/>
        <v>0</v>
      </c>
      <c r="J112" s="2">
        <f t="shared" si="10"/>
        <v>0</v>
      </c>
      <c r="K112" s="2">
        <f t="shared" si="11"/>
        <v>0</v>
      </c>
      <c r="L112" s="2">
        <f t="shared" si="12"/>
        <v>0</v>
      </c>
      <c r="M112" s="2">
        <f t="shared" si="13"/>
        <v>0</v>
      </c>
    </row>
    <row r="113" spans="1:13" x14ac:dyDescent="0.3">
      <c r="A113" s="2" t="s">
        <v>923</v>
      </c>
      <c r="B113" s="2" t="s">
        <v>536</v>
      </c>
      <c r="C113" s="2" t="s">
        <v>243</v>
      </c>
      <c r="D113" s="2" t="s">
        <v>1115</v>
      </c>
      <c r="E113" s="2"/>
      <c r="F113" s="2"/>
      <c r="G113" s="2">
        <f t="shared" si="7"/>
        <v>0</v>
      </c>
      <c r="H113" s="2">
        <f t="shared" si="8"/>
        <v>1</v>
      </c>
      <c r="I113" s="2">
        <f t="shared" si="9"/>
        <v>0</v>
      </c>
      <c r="J113" s="2">
        <f t="shared" si="10"/>
        <v>0</v>
      </c>
      <c r="K113" s="2">
        <f t="shared" si="11"/>
        <v>0</v>
      </c>
      <c r="L113" s="2">
        <f t="shared" si="12"/>
        <v>1</v>
      </c>
      <c r="M113" s="2">
        <f t="shared" si="13"/>
        <v>0</v>
      </c>
    </row>
    <row r="114" spans="1:13" x14ac:dyDescent="0.3">
      <c r="A114" s="2" t="s">
        <v>880</v>
      </c>
      <c r="B114" s="2" t="s">
        <v>537</v>
      </c>
      <c r="C114" s="2" t="s">
        <v>243</v>
      </c>
      <c r="D114" s="2" t="s">
        <v>1116</v>
      </c>
      <c r="E114" s="2" t="s">
        <v>1121</v>
      </c>
      <c r="F114" s="2"/>
      <c r="G114" s="2">
        <f t="shared" si="7"/>
        <v>0</v>
      </c>
      <c r="H114" s="2">
        <f t="shared" si="8"/>
        <v>0</v>
      </c>
      <c r="I114" s="2">
        <f t="shared" si="9"/>
        <v>0</v>
      </c>
      <c r="J114" s="2">
        <f t="shared" si="10"/>
        <v>0</v>
      </c>
      <c r="K114" s="2">
        <f t="shared" si="11"/>
        <v>1</v>
      </c>
      <c r="L114" s="2">
        <f t="shared" si="12"/>
        <v>1</v>
      </c>
      <c r="M114" s="2">
        <f t="shared" si="13"/>
        <v>0</v>
      </c>
    </row>
    <row r="115" spans="1:13" x14ac:dyDescent="0.3">
      <c r="A115" s="2" t="s">
        <v>825</v>
      </c>
      <c r="B115" s="2" t="s">
        <v>533</v>
      </c>
      <c r="C115" s="2" t="s">
        <v>249</v>
      </c>
      <c r="D115" s="2"/>
      <c r="E115" s="2"/>
      <c r="F115" s="2"/>
      <c r="G115" s="2">
        <f t="shared" si="7"/>
        <v>0</v>
      </c>
      <c r="H115" s="2">
        <f t="shared" si="8"/>
        <v>0</v>
      </c>
      <c r="I115" s="2">
        <f t="shared" si="9"/>
        <v>0</v>
      </c>
      <c r="J115" s="2">
        <f t="shared" si="10"/>
        <v>0</v>
      </c>
      <c r="K115" s="2">
        <f t="shared" si="11"/>
        <v>0</v>
      </c>
      <c r="L115" s="2">
        <f t="shared" si="12"/>
        <v>0</v>
      </c>
      <c r="M115" s="2">
        <f t="shared" si="13"/>
        <v>0</v>
      </c>
    </row>
    <row r="116" spans="1:13" x14ac:dyDescent="0.3">
      <c r="A116" s="2" t="s">
        <v>770</v>
      </c>
      <c r="B116" s="2" t="s">
        <v>538</v>
      </c>
      <c r="C116" s="2" t="s">
        <v>249</v>
      </c>
      <c r="D116" s="2" t="s">
        <v>1117</v>
      </c>
      <c r="E116" s="2"/>
      <c r="F116" s="2"/>
      <c r="G116" s="2">
        <f t="shared" si="7"/>
        <v>0</v>
      </c>
      <c r="H116" s="2">
        <f t="shared" si="8"/>
        <v>0</v>
      </c>
      <c r="I116" s="2">
        <f t="shared" si="9"/>
        <v>0</v>
      </c>
      <c r="J116" s="2">
        <f t="shared" si="10"/>
        <v>0</v>
      </c>
      <c r="K116" s="2">
        <f t="shared" si="11"/>
        <v>0</v>
      </c>
      <c r="L116" s="2">
        <f t="shared" si="12"/>
        <v>0</v>
      </c>
      <c r="M116" s="2">
        <f t="shared" si="13"/>
        <v>0</v>
      </c>
    </row>
    <row r="117" spans="1:13" x14ac:dyDescent="0.3">
      <c r="A117" s="2" t="s">
        <v>929</v>
      </c>
      <c r="B117" s="2" t="s">
        <v>539</v>
      </c>
      <c r="C117" s="2" t="s">
        <v>241</v>
      </c>
      <c r="D117" s="2" t="s">
        <v>1115</v>
      </c>
      <c r="E117" s="2" t="s">
        <v>1116</v>
      </c>
      <c r="F117" s="2" t="s">
        <v>1119</v>
      </c>
      <c r="G117" s="2">
        <f t="shared" si="7"/>
        <v>0</v>
      </c>
      <c r="H117" s="2">
        <f t="shared" si="8"/>
        <v>1</v>
      </c>
      <c r="I117" s="2">
        <f t="shared" si="9"/>
        <v>0</v>
      </c>
      <c r="J117" s="2">
        <f t="shared" si="10"/>
        <v>1</v>
      </c>
      <c r="K117" s="2">
        <f t="shared" si="11"/>
        <v>1</v>
      </c>
      <c r="L117" s="2">
        <f t="shared" si="12"/>
        <v>0</v>
      </c>
      <c r="M117" s="2">
        <f t="shared" si="13"/>
        <v>0</v>
      </c>
    </row>
    <row r="118" spans="1:13" x14ac:dyDescent="0.3">
      <c r="A118" s="2" t="s">
        <v>173</v>
      </c>
      <c r="B118" s="2" t="s">
        <v>540</v>
      </c>
      <c r="C118" s="2" t="s">
        <v>255</v>
      </c>
      <c r="D118" s="2" t="s">
        <v>1115</v>
      </c>
      <c r="E118" s="2"/>
      <c r="F118" s="2"/>
      <c r="G118" s="2">
        <f t="shared" si="7"/>
        <v>1</v>
      </c>
      <c r="H118" s="2">
        <f t="shared" si="8"/>
        <v>1</v>
      </c>
      <c r="I118" s="2">
        <f t="shared" si="9"/>
        <v>0</v>
      </c>
      <c r="J118" s="2">
        <f t="shared" si="10"/>
        <v>0</v>
      </c>
      <c r="K118" s="2">
        <f t="shared" si="11"/>
        <v>0</v>
      </c>
      <c r="L118" s="2">
        <f t="shared" si="12"/>
        <v>0</v>
      </c>
      <c r="M118" s="2">
        <f t="shared" si="13"/>
        <v>0</v>
      </c>
    </row>
    <row r="119" spans="1:13" x14ac:dyDescent="0.3">
      <c r="A119" s="2" t="s">
        <v>805</v>
      </c>
      <c r="B119" s="2" t="s">
        <v>541</v>
      </c>
      <c r="C119" s="2" t="s">
        <v>241</v>
      </c>
      <c r="D119" s="2" t="s">
        <v>1117</v>
      </c>
      <c r="E119" s="2" t="s">
        <v>1116</v>
      </c>
      <c r="F119" s="2" t="s">
        <v>1120</v>
      </c>
      <c r="G119" s="2">
        <f t="shared" si="7"/>
        <v>0</v>
      </c>
      <c r="H119" s="2">
        <f t="shared" si="8"/>
        <v>0</v>
      </c>
      <c r="I119" s="2">
        <f t="shared" si="9"/>
        <v>0</v>
      </c>
      <c r="J119" s="2">
        <f t="shared" si="10"/>
        <v>1</v>
      </c>
      <c r="K119" s="2">
        <f t="shared" si="11"/>
        <v>1</v>
      </c>
      <c r="L119" s="2">
        <f t="shared" si="12"/>
        <v>0</v>
      </c>
      <c r="M119" s="2">
        <f t="shared" si="13"/>
        <v>0</v>
      </c>
    </row>
    <row r="120" spans="1:13" x14ac:dyDescent="0.3">
      <c r="A120" s="2" t="s">
        <v>728</v>
      </c>
      <c r="B120" s="2" t="s">
        <v>542</v>
      </c>
      <c r="C120" s="2" t="s">
        <v>275</v>
      </c>
      <c r="D120" s="2" t="s">
        <v>1117</v>
      </c>
      <c r="E120" s="2" t="s">
        <v>1120</v>
      </c>
      <c r="F120" s="2"/>
      <c r="G120" s="2">
        <f t="shared" si="7"/>
        <v>0</v>
      </c>
      <c r="H120" s="2">
        <f t="shared" si="8"/>
        <v>0</v>
      </c>
      <c r="I120" s="2">
        <f t="shared" si="9"/>
        <v>0</v>
      </c>
      <c r="J120" s="2">
        <f t="shared" si="10"/>
        <v>0</v>
      </c>
      <c r="K120" s="2">
        <f t="shared" si="11"/>
        <v>0</v>
      </c>
      <c r="L120" s="2">
        <f t="shared" si="12"/>
        <v>0</v>
      </c>
      <c r="M120" s="2">
        <f t="shared" si="13"/>
        <v>0</v>
      </c>
    </row>
    <row r="121" spans="1:13" x14ac:dyDescent="0.3">
      <c r="A121" s="2" t="s">
        <v>167</v>
      </c>
      <c r="B121" s="2" t="s">
        <v>543</v>
      </c>
      <c r="C121" s="2" t="s">
        <v>241</v>
      </c>
      <c r="D121" s="2" t="s">
        <v>1115</v>
      </c>
      <c r="E121" s="2"/>
      <c r="F121" s="2"/>
      <c r="G121" s="2">
        <f t="shared" si="7"/>
        <v>0</v>
      </c>
      <c r="H121" s="2">
        <f t="shared" si="8"/>
        <v>1</v>
      </c>
      <c r="I121" s="2">
        <f t="shared" si="9"/>
        <v>0</v>
      </c>
      <c r="J121" s="2">
        <f t="shared" si="10"/>
        <v>1</v>
      </c>
      <c r="K121" s="2">
        <f t="shared" si="11"/>
        <v>0</v>
      </c>
      <c r="L121" s="2">
        <f t="shared" si="12"/>
        <v>0</v>
      </c>
      <c r="M121" s="2">
        <f t="shared" si="13"/>
        <v>0</v>
      </c>
    </row>
    <row r="122" spans="1:13" x14ac:dyDescent="0.3">
      <c r="A122" s="2" t="s">
        <v>678</v>
      </c>
      <c r="B122" s="2" t="s">
        <v>544</v>
      </c>
      <c r="C122" s="2" t="s">
        <v>243</v>
      </c>
      <c r="D122" s="2"/>
      <c r="E122" s="2"/>
      <c r="F122" s="2"/>
      <c r="G122" s="2">
        <f t="shared" si="7"/>
        <v>0</v>
      </c>
      <c r="H122" s="2">
        <f t="shared" si="8"/>
        <v>0</v>
      </c>
      <c r="I122" s="2">
        <f t="shared" si="9"/>
        <v>0</v>
      </c>
      <c r="J122" s="2">
        <f t="shared" si="10"/>
        <v>0</v>
      </c>
      <c r="K122" s="2">
        <f t="shared" si="11"/>
        <v>0</v>
      </c>
      <c r="L122" s="2">
        <f t="shared" si="12"/>
        <v>1</v>
      </c>
      <c r="M122" s="2">
        <f t="shared" si="13"/>
        <v>0</v>
      </c>
    </row>
    <row r="123" spans="1:13" x14ac:dyDescent="0.3">
      <c r="A123" s="2" t="s">
        <v>806</v>
      </c>
      <c r="B123" s="2" t="s">
        <v>545</v>
      </c>
      <c r="C123" s="2" t="s">
        <v>275</v>
      </c>
      <c r="D123" s="2" t="s">
        <v>1120</v>
      </c>
      <c r="E123" s="2"/>
      <c r="F123" s="2"/>
      <c r="G123" s="2">
        <f t="shared" si="7"/>
        <v>0</v>
      </c>
      <c r="H123" s="2">
        <f t="shared" si="8"/>
        <v>0</v>
      </c>
      <c r="I123" s="2">
        <f t="shared" si="9"/>
        <v>0</v>
      </c>
      <c r="J123" s="2">
        <f t="shared" si="10"/>
        <v>0</v>
      </c>
      <c r="K123" s="2">
        <f t="shared" si="11"/>
        <v>0</v>
      </c>
      <c r="L123" s="2">
        <f t="shared" si="12"/>
        <v>0</v>
      </c>
      <c r="M123" s="2">
        <f t="shared" si="13"/>
        <v>0</v>
      </c>
    </row>
    <row r="124" spans="1:13" x14ac:dyDescent="0.3">
      <c r="A124" s="2" t="s">
        <v>847</v>
      </c>
      <c r="B124" s="2" t="s">
        <v>546</v>
      </c>
      <c r="C124" s="2" t="s">
        <v>249</v>
      </c>
      <c r="D124" s="2" t="s">
        <v>1116</v>
      </c>
      <c r="E124" s="2" t="s">
        <v>1117</v>
      </c>
      <c r="F124" s="2"/>
      <c r="G124" s="2">
        <f t="shared" si="7"/>
        <v>0</v>
      </c>
      <c r="H124" s="2">
        <f t="shared" si="8"/>
        <v>0</v>
      </c>
      <c r="I124" s="2">
        <f t="shared" si="9"/>
        <v>0</v>
      </c>
      <c r="J124" s="2">
        <f t="shared" si="10"/>
        <v>0</v>
      </c>
      <c r="K124" s="2">
        <f t="shared" si="11"/>
        <v>1</v>
      </c>
      <c r="L124" s="2">
        <f t="shared" si="12"/>
        <v>0</v>
      </c>
      <c r="M124" s="2">
        <f t="shared" si="13"/>
        <v>0</v>
      </c>
    </row>
    <row r="125" spans="1:13" x14ac:dyDescent="0.3">
      <c r="A125" s="2" t="s">
        <v>791</v>
      </c>
      <c r="B125" s="2" t="s">
        <v>527</v>
      </c>
      <c r="C125" s="2" t="s">
        <v>243</v>
      </c>
      <c r="D125" s="2"/>
      <c r="E125" s="2"/>
      <c r="F125" s="2"/>
      <c r="G125" s="2">
        <f t="shared" si="7"/>
        <v>0</v>
      </c>
      <c r="H125" s="2">
        <f t="shared" si="8"/>
        <v>0</v>
      </c>
      <c r="I125" s="2">
        <f t="shared" si="9"/>
        <v>0</v>
      </c>
      <c r="J125" s="2">
        <f t="shared" si="10"/>
        <v>0</v>
      </c>
      <c r="K125" s="2">
        <f t="shared" si="11"/>
        <v>0</v>
      </c>
      <c r="L125" s="2">
        <f t="shared" si="12"/>
        <v>1</v>
      </c>
      <c r="M125" s="2">
        <f t="shared" si="13"/>
        <v>0</v>
      </c>
    </row>
    <row r="126" spans="1:13" x14ac:dyDescent="0.3">
      <c r="A126" s="2" t="s">
        <v>207</v>
      </c>
      <c r="B126" s="2" t="s">
        <v>545</v>
      </c>
      <c r="C126" s="2" t="s">
        <v>275</v>
      </c>
      <c r="D126" s="2" t="s">
        <v>1121</v>
      </c>
      <c r="E126" s="2" t="s">
        <v>1118</v>
      </c>
      <c r="F126" s="2" t="s">
        <v>1117</v>
      </c>
      <c r="G126" s="2">
        <f t="shared" si="7"/>
        <v>0</v>
      </c>
      <c r="H126" s="2">
        <f t="shared" si="8"/>
        <v>0</v>
      </c>
      <c r="I126" s="2">
        <f t="shared" si="9"/>
        <v>0</v>
      </c>
      <c r="J126" s="2">
        <f t="shared" si="10"/>
        <v>0</v>
      </c>
      <c r="K126" s="2">
        <f t="shared" si="11"/>
        <v>0</v>
      </c>
      <c r="L126" s="2">
        <f t="shared" si="12"/>
        <v>0</v>
      </c>
      <c r="M126" s="2">
        <f t="shared" si="13"/>
        <v>0</v>
      </c>
    </row>
    <row r="127" spans="1:13" x14ac:dyDescent="0.3">
      <c r="A127" s="2" t="s">
        <v>891</v>
      </c>
      <c r="B127" s="2" t="s">
        <v>547</v>
      </c>
      <c r="C127" s="2" t="s">
        <v>251</v>
      </c>
      <c r="D127" s="2" t="s">
        <v>1116</v>
      </c>
      <c r="E127" s="2" t="s">
        <v>1118</v>
      </c>
      <c r="F127" s="2"/>
      <c r="G127" s="2">
        <f t="shared" si="7"/>
        <v>0</v>
      </c>
      <c r="H127" s="2">
        <f t="shared" si="8"/>
        <v>0</v>
      </c>
      <c r="I127" s="2">
        <f t="shared" si="9"/>
        <v>1</v>
      </c>
      <c r="J127" s="2">
        <f t="shared" si="10"/>
        <v>0</v>
      </c>
      <c r="K127" s="2">
        <f t="shared" si="11"/>
        <v>1</v>
      </c>
      <c r="L127" s="2">
        <f t="shared" si="12"/>
        <v>0</v>
      </c>
      <c r="M127" s="2">
        <f t="shared" si="13"/>
        <v>0</v>
      </c>
    </row>
    <row r="128" spans="1:13" x14ac:dyDescent="0.3">
      <c r="A128" s="2" t="s">
        <v>722</v>
      </c>
      <c r="B128" s="2" t="s">
        <v>537</v>
      </c>
      <c r="C128" s="2" t="s">
        <v>251</v>
      </c>
      <c r="D128" s="2" t="s">
        <v>1115</v>
      </c>
      <c r="E128" s="2"/>
      <c r="F128" s="2"/>
      <c r="G128" s="2">
        <f t="shared" si="7"/>
        <v>0</v>
      </c>
      <c r="H128" s="2">
        <f t="shared" si="8"/>
        <v>1</v>
      </c>
      <c r="I128" s="2">
        <f t="shared" si="9"/>
        <v>1</v>
      </c>
      <c r="J128" s="2">
        <f t="shared" si="10"/>
        <v>0</v>
      </c>
      <c r="K128" s="2">
        <f t="shared" si="11"/>
        <v>0</v>
      </c>
      <c r="L128" s="2">
        <f t="shared" si="12"/>
        <v>0</v>
      </c>
      <c r="M128" s="2">
        <f t="shared" si="13"/>
        <v>0</v>
      </c>
    </row>
    <row r="129" spans="1:13" x14ac:dyDescent="0.3">
      <c r="A129" s="2" t="s">
        <v>677</v>
      </c>
      <c r="B129" s="2" t="s">
        <v>548</v>
      </c>
      <c r="C129" s="2" t="s">
        <v>251</v>
      </c>
      <c r="D129" s="2" t="s">
        <v>1120</v>
      </c>
      <c r="E129" s="2" t="s">
        <v>1121</v>
      </c>
      <c r="F129" s="2"/>
      <c r="G129" s="2">
        <f t="shared" si="7"/>
        <v>0</v>
      </c>
      <c r="H129" s="2">
        <f t="shared" si="8"/>
        <v>0</v>
      </c>
      <c r="I129" s="2">
        <f t="shared" si="9"/>
        <v>1</v>
      </c>
      <c r="J129" s="2">
        <f t="shared" si="10"/>
        <v>0</v>
      </c>
      <c r="K129" s="2">
        <f t="shared" si="11"/>
        <v>0</v>
      </c>
      <c r="L129" s="2">
        <f t="shared" si="12"/>
        <v>0</v>
      </c>
      <c r="M129" s="2">
        <f t="shared" si="13"/>
        <v>0</v>
      </c>
    </row>
    <row r="130" spans="1:13" x14ac:dyDescent="0.3">
      <c r="A130" s="2" t="s">
        <v>1107</v>
      </c>
      <c r="B130" s="2" t="s">
        <v>549</v>
      </c>
      <c r="C130" s="2" t="s">
        <v>249</v>
      </c>
      <c r="D130" s="2"/>
      <c r="E130" s="2"/>
      <c r="F130" s="2"/>
      <c r="G130" s="2">
        <f t="shared" si="7"/>
        <v>0</v>
      </c>
      <c r="H130" s="2">
        <f t="shared" si="8"/>
        <v>0</v>
      </c>
      <c r="I130" s="2">
        <f t="shared" si="9"/>
        <v>0</v>
      </c>
      <c r="J130" s="2">
        <f t="shared" si="10"/>
        <v>0</v>
      </c>
      <c r="K130" s="2">
        <f t="shared" si="11"/>
        <v>0</v>
      </c>
      <c r="L130" s="2">
        <f t="shared" si="12"/>
        <v>0</v>
      </c>
      <c r="M130" s="2">
        <f t="shared" si="13"/>
        <v>0</v>
      </c>
    </row>
    <row r="131" spans="1:13" x14ac:dyDescent="0.3">
      <c r="A131" s="2" t="s">
        <v>915</v>
      </c>
      <c r="B131" s="2" t="s">
        <v>550</v>
      </c>
      <c r="C131" s="2" t="s">
        <v>262</v>
      </c>
      <c r="D131" s="2" t="s">
        <v>1121</v>
      </c>
      <c r="E131" s="2"/>
      <c r="F131" s="2"/>
      <c r="G131" s="2">
        <f t="shared" ref="G131:G194" si="14">IF(COUNTIF(C131:F131,"Community Activities")&gt;0,1,0)</f>
        <v>0</v>
      </c>
      <c r="H131" s="2">
        <f t="shared" ref="H131:H194" si="15">IF(COUNTIF(C131:F131," Employment Assistance")&gt;0,1,0)</f>
        <v>0</v>
      </c>
      <c r="I131" s="2">
        <f t="shared" ref="I131:I194" si="16">IF(COUNTIF(C131:F131,"Housing")&gt;0,1,0)</f>
        <v>0</v>
      </c>
      <c r="J131" s="2">
        <f t="shared" ref="J131:J194" si="17">IF(COUNTIF(C131:F131,"Medical")&gt;0,1,0)</f>
        <v>0</v>
      </c>
      <c r="K131" s="2">
        <f t="shared" ref="K131:K194" si="18">IF(COUNTIF(C131:F131," Schooling")&gt;0,1,0)</f>
        <v>0</v>
      </c>
      <c r="L131" s="2">
        <f t="shared" ref="L131:L194" si="19">IF(COUNTIF(C131:F131,"Transport")&gt;0,1,0)</f>
        <v>0</v>
      </c>
      <c r="M131" s="2">
        <f t="shared" ref="M131:M194" si="20">IF(COUNTIF(C131:F131,"Canteen")&gt;0,1,0)</f>
        <v>1</v>
      </c>
    </row>
    <row r="132" spans="1:13" x14ac:dyDescent="0.3">
      <c r="A132" s="2" t="s">
        <v>202</v>
      </c>
      <c r="B132" s="2" t="s">
        <v>534</v>
      </c>
      <c r="C132" s="2" t="s">
        <v>251</v>
      </c>
      <c r="D132" s="2" t="s">
        <v>1121</v>
      </c>
      <c r="E132" s="2" t="s">
        <v>1115</v>
      </c>
      <c r="F132" s="2" t="s">
        <v>1120</v>
      </c>
      <c r="G132" s="2">
        <f t="shared" si="14"/>
        <v>0</v>
      </c>
      <c r="H132" s="2">
        <f t="shared" si="15"/>
        <v>1</v>
      </c>
      <c r="I132" s="2">
        <f t="shared" si="16"/>
        <v>1</v>
      </c>
      <c r="J132" s="2">
        <f t="shared" si="17"/>
        <v>0</v>
      </c>
      <c r="K132" s="2">
        <f t="shared" si="18"/>
        <v>0</v>
      </c>
      <c r="L132" s="2">
        <f t="shared" si="19"/>
        <v>0</v>
      </c>
      <c r="M132" s="2">
        <f t="shared" si="20"/>
        <v>0</v>
      </c>
    </row>
    <row r="133" spans="1:13" x14ac:dyDescent="0.3">
      <c r="A133" s="2" t="s">
        <v>796</v>
      </c>
      <c r="B133" s="2" t="s">
        <v>542</v>
      </c>
      <c r="C133" s="2" t="s">
        <v>262</v>
      </c>
      <c r="D133" s="2" t="s">
        <v>1121</v>
      </c>
      <c r="E133" s="2" t="s">
        <v>1117</v>
      </c>
      <c r="F133" s="2"/>
      <c r="G133" s="2">
        <f t="shared" si="14"/>
        <v>0</v>
      </c>
      <c r="H133" s="2">
        <f t="shared" si="15"/>
        <v>0</v>
      </c>
      <c r="I133" s="2">
        <f t="shared" si="16"/>
        <v>0</v>
      </c>
      <c r="J133" s="2">
        <f t="shared" si="17"/>
        <v>0</v>
      </c>
      <c r="K133" s="2">
        <f t="shared" si="18"/>
        <v>0</v>
      </c>
      <c r="L133" s="2">
        <f t="shared" si="19"/>
        <v>0</v>
      </c>
      <c r="M133" s="2">
        <f t="shared" si="20"/>
        <v>1</v>
      </c>
    </row>
    <row r="134" spans="1:13" x14ac:dyDescent="0.3">
      <c r="A134" s="2" t="s">
        <v>947</v>
      </c>
      <c r="B134" s="2" t="s">
        <v>551</v>
      </c>
      <c r="C134" s="2" t="s">
        <v>251</v>
      </c>
      <c r="D134" s="2" t="s">
        <v>1115</v>
      </c>
      <c r="E134" s="2" t="s">
        <v>1118</v>
      </c>
      <c r="F134" s="2"/>
      <c r="G134" s="2">
        <f t="shared" si="14"/>
        <v>0</v>
      </c>
      <c r="H134" s="2">
        <f t="shared" si="15"/>
        <v>1</v>
      </c>
      <c r="I134" s="2">
        <f t="shared" si="16"/>
        <v>1</v>
      </c>
      <c r="J134" s="2">
        <f t="shared" si="17"/>
        <v>0</v>
      </c>
      <c r="K134" s="2">
        <f t="shared" si="18"/>
        <v>0</v>
      </c>
      <c r="L134" s="2">
        <f t="shared" si="19"/>
        <v>0</v>
      </c>
      <c r="M134" s="2">
        <f t="shared" si="20"/>
        <v>0</v>
      </c>
    </row>
    <row r="135" spans="1:13" x14ac:dyDescent="0.3">
      <c r="A135" s="2" t="s">
        <v>832</v>
      </c>
      <c r="B135" s="2" t="s">
        <v>552</v>
      </c>
      <c r="C135" s="2" t="s">
        <v>251</v>
      </c>
      <c r="D135" s="2"/>
      <c r="E135" s="2"/>
      <c r="F135" s="2"/>
      <c r="G135" s="2">
        <f t="shared" si="14"/>
        <v>0</v>
      </c>
      <c r="H135" s="2">
        <f t="shared" si="15"/>
        <v>0</v>
      </c>
      <c r="I135" s="2">
        <f t="shared" si="16"/>
        <v>1</v>
      </c>
      <c r="J135" s="2">
        <f t="shared" si="17"/>
        <v>0</v>
      </c>
      <c r="K135" s="2">
        <f t="shared" si="18"/>
        <v>0</v>
      </c>
      <c r="L135" s="2">
        <f t="shared" si="19"/>
        <v>0</v>
      </c>
      <c r="M135" s="2">
        <f t="shared" si="20"/>
        <v>0</v>
      </c>
    </row>
    <row r="136" spans="1:13" x14ac:dyDescent="0.3">
      <c r="A136" s="2" t="s">
        <v>1114</v>
      </c>
      <c r="B136" s="2" t="s">
        <v>553</v>
      </c>
      <c r="C136" s="2" t="s">
        <v>241</v>
      </c>
      <c r="D136" s="2"/>
      <c r="E136" s="2"/>
      <c r="F136" s="2"/>
      <c r="G136" s="2">
        <f t="shared" si="14"/>
        <v>0</v>
      </c>
      <c r="H136" s="2">
        <f t="shared" si="15"/>
        <v>0</v>
      </c>
      <c r="I136" s="2">
        <f t="shared" si="16"/>
        <v>0</v>
      </c>
      <c r="J136" s="2">
        <f t="shared" si="17"/>
        <v>1</v>
      </c>
      <c r="K136" s="2">
        <f t="shared" si="18"/>
        <v>0</v>
      </c>
      <c r="L136" s="2">
        <f t="shared" si="19"/>
        <v>0</v>
      </c>
      <c r="M136" s="2">
        <f t="shared" si="20"/>
        <v>0</v>
      </c>
    </row>
    <row r="137" spans="1:13" x14ac:dyDescent="0.3">
      <c r="A137" s="2" t="s">
        <v>706</v>
      </c>
      <c r="B137" s="2" t="s">
        <v>554</v>
      </c>
      <c r="C137" s="2" t="s">
        <v>255</v>
      </c>
      <c r="D137" s="2" t="s">
        <v>1116</v>
      </c>
      <c r="E137" s="2" t="s">
        <v>1119</v>
      </c>
      <c r="F137" s="2" t="s">
        <v>1118</v>
      </c>
      <c r="G137" s="2">
        <f t="shared" si="14"/>
        <v>1</v>
      </c>
      <c r="H137" s="2">
        <f t="shared" si="15"/>
        <v>0</v>
      </c>
      <c r="I137" s="2">
        <f t="shared" si="16"/>
        <v>0</v>
      </c>
      <c r="J137" s="2">
        <f t="shared" si="17"/>
        <v>0</v>
      </c>
      <c r="K137" s="2">
        <f t="shared" si="18"/>
        <v>1</v>
      </c>
      <c r="L137" s="2">
        <f t="shared" si="19"/>
        <v>0</v>
      </c>
      <c r="M137" s="2">
        <f t="shared" si="20"/>
        <v>0</v>
      </c>
    </row>
    <row r="138" spans="1:13" x14ac:dyDescent="0.3">
      <c r="A138" s="2" t="s">
        <v>949</v>
      </c>
      <c r="B138" s="2" t="s">
        <v>555</v>
      </c>
      <c r="C138" s="2" t="s">
        <v>255</v>
      </c>
      <c r="D138" s="2" t="s">
        <v>1115</v>
      </c>
      <c r="E138" s="2"/>
      <c r="F138" s="2"/>
      <c r="G138" s="2">
        <f t="shared" si="14"/>
        <v>1</v>
      </c>
      <c r="H138" s="2">
        <f t="shared" si="15"/>
        <v>1</v>
      </c>
      <c r="I138" s="2">
        <f t="shared" si="16"/>
        <v>0</v>
      </c>
      <c r="J138" s="2">
        <f t="shared" si="17"/>
        <v>0</v>
      </c>
      <c r="K138" s="2">
        <f t="shared" si="18"/>
        <v>0</v>
      </c>
      <c r="L138" s="2">
        <f t="shared" si="19"/>
        <v>0</v>
      </c>
      <c r="M138" s="2">
        <f t="shared" si="20"/>
        <v>0</v>
      </c>
    </row>
    <row r="139" spans="1:13" x14ac:dyDescent="0.3">
      <c r="A139" s="2" t="s">
        <v>799</v>
      </c>
      <c r="B139" s="2" t="s">
        <v>556</v>
      </c>
      <c r="C139" s="2" t="s">
        <v>262</v>
      </c>
      <c r="D139" s="2" t="s">
        <v>1121</v>
      </c>
      <c r="E139" s="2"/>
      <c r="F139" s="2"/>
      <c r="G139" s="2">
        <f t="shared" si="14"/>
        <v>0</v>
      </c>
      <c r="H139" s="2">
        <f t="shared" si="15"/>
        <v>0</v>
      </c>
      <c r="I139" s="2">
        <f t="shared" si="16"/>
        <v>0</v>
      </c>
      <c r="J139" s="2">
        <f t="shared" si="17"/>
        <v>0</v>
      </c>
      <c r="K139" s="2">
        <f t="shared" si="18"/>
        <v>0</v>
      </c>
      <c r="L139" s="2">
        <f t="shared" si="19"/>
        <v>0</v>
      </c>
      <c r="M139" s="2">
        <f t="shared" si="20"/>
        <v>1</v>
      </c>
    </row>
    <row r="140" spans="1:13" x14ac:dyDescent="0.3">
      <c r="A140" s="2" t="s">
        <v>168</v>
      </c>
      <c r="B140" s="2" t="s">
        <v>557</v>
      </c>
      <c r="C140" s="2" t="s">
        <v>243</v>
      </c>
      <c r="D140" s="2" t="s">
        <v>1120</v>
      </c>
      <c r="E140" s="2" t="s">
        <v>1118</v>
      </c>
      <c r="F140" s="2" t="s">
        <v>1115</v>
      </c>
      <c r="G140" s="2">
        <f t="shared" si="14"/>
        <v>0</v>
      </c>
      <c r="H140" s="2">
        <f t="shared" si="15"/>
        <v>1</v>
      </c>
      <c r="I140" s="2">
        <f t="shared" si="16"/>
        <v>0</v>
      </c>
      <c r="J140" s="2">
        <f t="shared" si="17"/>
        <v>0</v>
      </c>
      <c r="K140" s="2">
        <f t="shared" si="18"/>
        <v>0</v>
      </c>
      <c r="L140" s="2">
        <f t="shared" si="19"/>
        <v>1</v>
      </c>
      <c r="M140" s="2">
        <f t="shared" si="20"/>
        <v>0</v>
      </c>
    </row>
    <row r="141" spans="1:13" x14ac:dyDescent="0.3">
      <c r="A141" s="2" t="s">
        <v>733</v>
      </c>
      <c r="B141" s="2" t="s">
        <v>552</v>
      </c>
      <c r="C141" s="2" t="s">
        <v>275</v>
      </c>
      <c r="D141" s="2" t="s">
        <v>1118</v>
      </c>
      <c r="E141" s="2"/>
      <c r="F141" s="2"/>
      <c r="G141" s="2">
        <f t="shared" si="14"/>
        <v>0</v>
      </c>
      <c r="H141" s="2">
        <f t="shared" si="15"/>
        <v>0</v>
      </c>
      <c r="I141" s="2">
        <f t="shared" si="16"/>
        <v>0</v>
      </c>
      <c r="J141" s="2">
        <f t="shared" si="17"/>
        <v>0</v>
      </c>
      <c r="K141" s="2">
        <f t="shared" si="18"/>
        <v>0</v>
      </c>
      <c r="L141" s="2">
        <f t="shared" si="19"/>
        <v>0</v>
      </c>
      <c r="M141" s="2">
        <f t="shared" si="20"/>
        <v>0</v>
      </c>
    </row>
    <row r="142" spans="1:13" x14ac:dyDescent="0.3">
      <c r="A142" s="2" t="s">
        <v>907</v>
      </c>
      <c r="B142" s="2" t="s">
        <v>555</v>
      </c>
      <c r="C142" s="2" t="s">
        <v>262</v>
      </c>
      <c r="D142" s="2" t="s">
        <v>1121</v>
      </c>
      <c r="E142" s="2" t="s">
        <v>1118</v>
      </c>
      <c r="F142" s="2" t="s">
        <v>1116</v>
      </c>
      <c r="G142" s="2">
        <f t="shared" si="14"/>
        <v>0</v>
      </c>
      <c r="H142" s="2">
        <f t="shared" si="15"/>
        <v>0</v>
      </c>
      <c r="I142" s="2">
        <f t="shared" si="16"/>
        <v>0</v>
      </c>
      <c r="J142" s="2">
        <f t="shared" si="17"/>
        <v>0</v>
      </c>
      <c r="K142" s="2">
        <f t="shared" si="18"/>
        <v>1</v>
      </c>
      <c r="L142" s="2">
        <f t="shared" si="19"/>
        <v>0</v>
      </c>
      <c r="M142" s="2">
        <f t="shared" si="20"/>
        <v>1</v>
      </c>
    </row>
    <row r="143" spans="1:13" x14ac:dyDescent="0.3">
      <c r="A143" s="2" t="s">
        <v>875</v>
      </c>
      <c r="B143" s="2" t="s">
        <v>558</v>
      </c>
      <c r="C143" s="2" t="s">
        <v>249</v>
      </c>
      <c r="D143" s="2" t="s">
        <v>1121</v>
      </c>
      <c r="E143" s="2" t="s">
        <v>1119</v>
      </c>
      <c r="F143" s="2"/>
      <c r="G143" s="2">
        <f t="shared" si="14"/>
        <v>0</v>
      </c>
      <c r="H143" s="2">
        <f t="shared" si="15"/>
        <v>0</v>
      </c>
      <c r="I143" s="2">
        <f t="shared" si="16"/>
        <v>0</v>
      </c>
      <c r="J143" s="2">
        <f t="shared" si="17"/>
        <v>0</v>
      </c>
      <c r="K143" s="2">
        <f t="shared" si="18"/>
        <v>0</v>
      </c>
      <c r="L143" s="2">
        <f t="shared" si="19"/>
        <v>0</v>
      </c>
      <c r="M143" s="2">
        <f t="shared" si="20"/>
        <v>0</v>
      </c>
    </row>
    <row r="144" spans="1:13" x14ac:dyDescent="0.3">
      <c r="A144" s="2" t="s">
        <v>730</v>
      </c>
      <c r="B144" s="2" t="s">
        <v>531</v>
      </c>
      <c r="C144" s="2" t="s">
        <v>255</v>
      </c>
      <c r="D144" s="2" t="s">
        <v>1119</v>
      </c>
      <c r="E144" s="2" t="s">
        <v>1116</v>
      </c>
      <c r="F144" s="2"/>
      <c r="G144" s="2">
        <f t="shared" si="14"/>
        <v>1</v>
      </c>
      <c r="H144" s="2">
        <f t="shared" si="15"/>
        <v>0</v>
      </c>
      <c r="I144" s="2">
        <f t="shared" si="16"/>
        <v>0</v>
      </c>
      <c r="J144" s="2">
        <f t="shared" si="17"/>
        <v>0</v>
      </c>
      <c r="K144" s="2">
        <f t="shared" si="18"/>
        <v>1</v>
      </c>
      <c r="L144" s="2">
        <f t="shared" si="19"/>
        <v>0</v>
      </c>
      <c r="M144" s="2">
        <f t="shared" si="20"/>
        <v>0</v>
      </c>
    </row>
    <row r="145" spans="1:13" x14ac:dyDescent="0.3">
      <c r="A145" s="2" t="s">
        <v>855</v>
      </c>
      <c r="B145" s="2" t="s">
        <v>559</v>
      </c>
      <c r="C145" s="2" t="s">
        <v>243</v>
      </c>
      <c r="D145" s="2" t="s">
        <v>1120</v>
      </c>
      <c r="E145" s="2" t="s">
        <v>1118</v>
      </c>
      <c r="F145" s="2"/>
      <c r="G145" s="2">
        <f t="shared" si="14"/>
        <v>0</v>
      </c>
      <c r="H145" s="2">
        <f t="shared" si="15"/>
        <v>0</v>
      </c>
      <c r="I145" s="2">
        <f t="shared" si="16"/>
        <v>0</v>
      </c>
      <c r="J145" s="2">
        <f t="shared" si="17"/>
        <v>0</v>
      </c>
      <c r="K145" s="2">
        <f t="shared" si="18"/>
        <v>0</v>
      </c>
      <c r="L145" s="2">
        <f t="shared" si="19"/>
        <v>1</v>
      </c>
      <c r="M145" s="2">
        <f t="shared" si="20"/>
        <v>0</v>
      </c>
    </row>
    <row r="146" spans="1:13" x14ac:dyDescent="0.3">
      <c r="A146" s="2" t="s">
        <v>759</v>
      </c>
      <c r="B146" s="2" t="s">
        <v>560</v>
      </c>
      <c r="C146" s="2" t="s">
        <v>243</v>
      </c>
      <c r="D146" s="2" t="s">
        <v>1115</v>
      </c>
      <c r="E146" s="2"/>
      <c r="F146" s="2"/>
      <c r="G146" s="2">
        <f t="shared" si="14"/>
        <v>0</v>
      </c>
      <c r="H146" s="2">
        <f t="shared" si="15"/>
        <v>1</v>
      </c>
      <c r="I146" s="2">
        <f t="shared" si="16"/>
        <v>0</v>
      </c>
      <c r="J146" s="2">
        <f t="shared" si="17"/>
        <v>0</v>
      </c>
      <c r="K146" s="2">
        <f t="shared" si="18"/>
        <v>0</v>
      </c>
      <c r="L146" s="2">
        <f t="shared" si="19"/>
        <v>1</v>
      </c>
      <c r="M146" s="2">
        <f t="shared" si="20"/>
        <v>0</v>
      </c>
    </row>
    <row r="147" spans="1:13" x14ac:dyDescent="0.3">
      <c r="A147" s="2" t="s">
        <v>778</v>
      </c>
      <c r="B147" s="2" t="s">
        <v>531</v>
      </c>
      <c r="C147" s="2" t="s">
        <v>243</v>
      </c>
      <c r="D147" s="2"/>
      <c r="E147" s="2"/>
      <c r="F147" s="2"/>
      <c r="G147" s="2">
        <f t="shared" si="14"/>
        <v>0</v>
      </c>
      <c r="H147" s="2">
        <f t="shared" si="15"/>
        <v>0</v>
      </c>
      <c r="I147" s="2">
        <f t="shared" si="16"/>
        <v>0</v>
      </c>
      <c r="J147" s="2">
        <f t="shared" si="17"/>
        <v>0</v>
      </c>
      <c r="K147" s="2">
        <f t="shared" si="18"/>
        <v>0</v>
      </c>
      <c r="L147" s="2">
        <f t="shared" si="19"/>
        <v>1</v>
      </c>
      <c r="M147" s="2">
        <f t="shared" si="20"/>
        <v>0</v>
      </c>
    </row>
    <row r="148" spans="1:13" x14ac:dyDescent="0.3">
      <c r="A148" s="2" t="s">
        <v>134</v>
      </c>
      <c r="B148" s="2" t="s">
        <v>535</v>
      </c>
      <c r="C148" s="2" t="s">
        <v>262</v>
      </c>
      <c r="D148" s="2" t="s">
        <v>1116</v>
      </c>
      <c r="E148" s="2" t="s">
        <v>1117</v>
      </c>
      <c r="F148" s="2" t="s">
        <v>1119</v>
      </c>
      <c r="G148" s="2">
        <f t="shared" si="14"/>
        <v>0</v>
      </c>
      <c r="H148" s="2">
        <f t="shared" si="15"/>
        <v>0</v>
      </c>
      <c r="I148" s="2">
        <f t="shared" si="16"/>
        <v>0</v>
      </c>
      <c r="J148" s="2">
        <f t="shared" si="17"/>
        <v>0</v>
      </c>
      <c r="K148" s="2">
        <f t="shared" si="18"/>
        <v>1</v>
      </c>
      <c r="L148" s="2">
        <f t="shared" si="19"/>
        <v>0</v>
      </c>
      <c r="M148" s="2">
        <f t="shared" si="20"/>
        <v>1</v>
      </c>
    </row>
    <row r="149" spans="1:13" x14ac:dyDescent="0.3">
      <c r="A149" s="2" t="s">
        <v>794</v>
      </c>
      <c r="B149" s="2" t="s">
        <v>561</v>
      </c>
      <c r="C149" s="2" t="s">
        <v>255</v>
      </c>
      <c r="D149" s="2"/>
      <c r="E149" s="2"/>
      <c r="F149" s="2"/>
      <c r="G149" s="2">
        <f t="shared" si="14"/>
        <v>1</v>
      </c>
      <c r="H149" s="2">
        <f t="shared" si="15"/>
        <v>0</v>
      </c>
      <c r="I149" s="2">
        <f t="shared" si="16"/>
        <v>0</v>
      </c>
      <c r="J149" s="2">
        <f t="shared" si="17"/>
        <v>0</v>
      </c>
      <c r="K149" s="2">
        <f t="shared" si="18"/>
        <v>0</v>
      </c>
      <c r="L149" s="2">
        <f t="shared" si="19"/>
        <v>0</v>
      </c>
      <c r="M149" s="2">
        <f t="shared" si="20"/>
        <v>0</v>
      </c>
    </row>
    <row r="150" spans="1:13" x14ac:dyDescent="0.3">
      <c r="A150" s="2" t="s">
        <v>673</v>
      </c>
      <c r="B150" s="2" t="s">
        <v>562</v>
      </c>
      <c r="C150" s="2" t="s">
        <v>251</v>
      </c>
      <c r="D150" s="2" t="s">
        <v>1120</v>
      </c>
      <c r="E150" s="2" t="s">
        <v>1118</v>
      </c>
      <c r="F150" s="2"/>
      <c r="G150" s="2">
        <f t="shared" si="14"/>
        <v>0</v>
      </c>
      <c r="H150" s="2">
        <f t="shared" si="15"/>
        <v>0</v>
      </c>
      <c r="I150" s="2">
        <f t="shared" si="16"/>
        <v>1</v>
      </c>
      <c r="J150" s="2">
        <f t="shared" si="17"/>
        <v>0</v>
      </c>
      <c r="K150" s="2">
        <f t="shared" si="18"/>
        <v>0</v>
      </c>
      <c r="L150" s="2">
        <f t="shared" si="19"/>
        <v>0</v>
      </c>
      <c r="M150" s="2">
        <f t="shared" si="20"/>
        <v>0</v>
      </c>
    </row>
    <row r="151" spans="1:13" x14ac:dyDescent="0.3">
      <c r="A151" s="2" t="s">
        <v>750</v>
      </c>
      <c r="B151" s="2" t="s">
        <v>559</v>
      </c>
      <c r="C151" s="2" t="s">
        <v>241</v>
      </c>
      <c r="D151" s="2" t="s">
        <v>1117</v>
      </c>
      <c r="E151" s="2" t="s">
        <v>1116</v>
      </c>
      <c r="F151" s="2"/>
      <c r="G151" s="2">
        <f t="shared" si="14"/>
        <v>0</v>
      </c>
      <c r="H151" s="2">
        <f t="shared" si="15"/>
        <v>0</v>
      </c>
      <c r="I151" s="2">
        <f t="shared" si="16"/>
        <v>0</v>
      </c>
      <c r="J151" s="2">
        <f t="shared" si="17"/>
        <v>1</v>
      </c>
      <c r="K151" s="2">
        <f t="shared" si="18"/>
        <v>1</v>
      </c>
      <c r="L151" s="2">
        <f t="shared" si="19"/>
        <v>0</v>
      </c>
      <c r="M151" s="2">
        <f t="shared" si="20"/>
        <v>0</v>
      </c>
    </row>
    <row r="152" spans="1:13" x14ac:dyDescent="0.3">
      <c r="A152" s="2" t="s">
        <v>208</v>
      </c>
      <c r="B152" s="2" t="s">
        <v>563</v>
      </c>
      <c r="C152" s="2" t="s">
        <v>255</v>
      </c>
      <c r="D152" s="2" t="s">
        <v>1118</v>
      </c>
      <c r="E152" s="2" t="s">
        <v>1116</v>
      </c>
      <c r="F152" s="2" t="s">
        <v>1119</v>
      </c>
      <c r="G152" s="2">
        <f t="shared" si="14"/>
        <v>1</v>
      </c>
      <c r="H152" s="2">
        <f t="shared" si="15"/>
        <v>0</v>
      </c>
      <c r="I152" s="2">
        <f t="shared" si="16"/>
        <v>0</v>
      </c>
      <c r="J152" s="2">
        <f t="shared" si="17"/>
        <v>0</v>
      </c>
      <c r="K152" s="2">
        <f t="shared" si="18"/>
        <v>1</v>
      </c>
      <c r="L152" s="2">
        <f t="shared" si="19"/>
        <v>0</v>
      </c>
      <c r="M152" s="2">
        <f t="shared" si="20"/>
        <v>0</v>
      </c>
    </row>
    <row r="153" spans="1:13" x14ac:dyDescent="0.3">
      <c r="A153" s="2" t="s">
        <v>845</v>
      </c>
      <c r="B153" s="2" t="s">
        <v>564</v>
      </c>
      <c r="C153" s="2" t="s">
        <v>262</v>
      </c>
      <c r="D153" s="2" t="s">
        <v>1116</v>
      </c>
      <c r="E153" s="2" t="s">
        <v>1121</v>
      </c>
      <c r="F153" s="2"/>
      <c r="G153" s="2">
        <f t="shared" si="14"/>
        <v>0</v>
      </c>
      <c r="H153" s="2">
        <f t="shared" si="15"/>
        <v>0</v>
      </c>
      <c r="I153" s="2">
        <f t="shared" si="16"/>
        <v>0</v>
      </c>
      <c r="J153" s="2">
        <f t="shared" si="17"/>
        <v>0</v>
      </c>
      <c r="K153" s="2">
        <f t="shared" si="18"/>
        <v>1</v>
      </c>
      <c r="L153" s="2">
        <f t="shared" si="19"/>
        <v>0</v>
      </c>
      <c r="M153" s="2">
        <f t="shared" si="20"/>
        <v>1</v>
      </c>
    </row>
    <row r="154" spans="1:13" x14ac:dyDescent="0.3">
      <c r="A154" s="2" t="s">
        <v>717</v>
      </c>
      <c r="B154" s="2" t="s">
        <v>565</v>
      </c>
      <c r="C154" s="2" t="s">
        <v>262</v>
      </c>
      <c r="D154" s="2" t="s">
        <v>1118</v>
      </c>
      <c r="E154" s="2" t="s">
        <v>1121</v>
      </c>
      <c r="F154" s="2"/>
      <c r="G154" s="2">
        <f t="shared" si="14"/>
        <v>0</v>
      </c>
      <c r="H154" s="2">
        <f t="shared" si="15"/>
        <v>0</v>
      </c>
      <c r="I154" s="2">
        <f t="shared" si="16"/>
        <v>0</v>
      </c>
      <c r="J154" s="2">
        <f t="shared" si="17"/>
        <v>0</v>
      </c>
      <c r="K154" s="2">
        <f t="shared" si="18"/>
        <v>0</v>
      </c>
      <c r="L154" s="2">
        <f t="shared" si="19"/>
        <v>0</v>
      </c>
      <c r="M154" s="2">
        <f t="shared" si="20"/>
        <v>1</v>
      </c>
    </row>
    <row r="155" spans="1:13" x14ac:dyDescent="0.3">
      <c r="A155" s="2" t="s">
        <v>196</v>
      </c>
      <c r="B155" s="2" t="s">
        <v>566</v>
      </c>
      <c r="C155" s="2" t="s">
        <v>241</v>
      </c>
      <c r="D155" s="2" t="s">
        <v>1116</v>
      </c>
      <c r="E155" s="2" t="s">
        <v>1117</v>
      </c>
      <c r="F155" s="2"/>
      <c r="G155" s="2">
        <f t="shared" si="14"/>
        <v>0</v>
      </c>
      <c r="H155" s="2">
        <f t="shared" si="15"/>
        <v>0</v>
      </c>
      <c r="I155" s="2">
        <f t="shared" si="16"/>
        <v>0</v>
      </c>
      <c r="J155" s="2">
        <f t="shared" si="17"/>
        <v>1</v>
      </c>
      <c r="K155" s="2">
        <f t="shared" si="18"/>
        <v>1</v>
      </c>
      <c r="L155" s="2">
        <f t="shared" si="19"/>
        <v>0</v>
      </c>
      <c r="M155" s="2">
        <f t="shared" si="20"/>
        <v>0</v>
      </c>
    </row>
    <row r="156" spans="1:13" x14ac:dyDescent="0.3">
      <c r="A156" s="2" t="s">
        <v>867</v>
      </c>
      <c r="B156" s="2" t="s">
        <v>560</v>
      </c>
      <c r="C156" s="2" t="s">
        <v>241</v>
      </c>
      <c r="D156" s="2"/>
      <c r="E156" s="2"/>
      <c r="F156" s="2"/>
      <c r="G156" s="2">
        <f t="shared" si="14"/>
        <v>0</v>
      </c>
      <c r="H156" s="2">
        <f t="shared" si="15"/>
        <v>0</v>
      </c>
      <c r="I156" s="2">
        <f t="shared" si="16"/>
        <v>0</v>
      </c>
      <c r="J156" s="2">
        <f t="shared" si="17"/>
        <v>1</v>
      </c>
      <c r="K156" s="2">
        <f t="shared" si="18"/>
        <v>0</v>
      </c>
      <c r="L156" s="2">
        <f t="shared" si="19"/>
        <v>0</v>
      </c>
      <c r="M156" s="2">
        <f t="shared" si="20"/>
        <v>0</v>
      </c>
    </row>
    <row r="157" spans="1:13" x14ac:dyDescent="0.3">
      <c r="A157" s="2" t="s">
        <v>850</v>
      </c>
      <c r="B157" s="2" t="s">
        <v>567</v>
      </c>
      <c r="C157" s="2" t="s">
        <v>241</v>
      </c>
      <c r="D157" s="2" t="s">
        <v>1117</v>
      </c>
      <c r="E157" s="2"/>
      <c r="F157" s="2"/>
      <c r="G157" s="2">
        <f t="shared" si="14"/>
        <v>0</v>
      </c>
      <c r="H157" s="2">
        <f t="shared" si="15"/>
        <v>0</v>
      </c>
      <c r="I157" s="2">
        <f t="shared" si="16"/>
        <v>0</v>
      </c>
      <c r="J157" s="2">
        <f t="shared" si="17"/>
        <v>1</v>
      </c>
      <c r="K157" s="2">
        <f t="shared" si="18"/>
        <v>0</v>
      </c>
      <c r="L157" s="2">
        <f t="shared" si="19"/>
        <v>0</v>
      </c>
      <c r="M157" s="2">
        <f t="shared" si="20"/>
        <v>0</v>
      </c>
    </row>
    <row r="158" spans="1:13" x14ac:dyDescent="0.3">
      <c r="A158" s="2" t="s">
        <v>918</v>
      </c>
      <c r="B158" s="2" t="s">
        <v>568</v>
      </c>
      <c r="C158" s="2" t="s">
        <v>255</v>
      </c>
      <c r="D158" s="2"/>
      <c r="E158" s="2"/>
      <c r="F158" s="2"/>
      <c r="G158" s="2">
        <f t="shared" si="14"/>
        <v>1</v>
      </c>
      <c r="H158" s="2">
        <f t="shared" si="15"/>
        <v>0</v>
      </c>
      <c r="I158" s="2">
        <f t="shared" si="16"/>
        <v>0</v>
      </c>
      <c r="J158" s="2">
        <f t="shared" si="17"/>
        <v>0</v>
      </c>
      <c r="K158" s="2">
        <f t="shared" si="18"/>
        <v>0</v>
      </c>
      <c r="L158" s="2">
        <f t="shared" si="19"/>
        <v>0</v>
      </c>
      <c r="M158" s="2">
        <f t="shared" si="20"/>
        <v>0</v>
      </c>
    </row>
    <row r="159" spans="1:13" x14ac:dyDescent="0.3">
      <c r="A159" s="2" t="s">
        <v>171</v>
      </c>
      <c r="B159" s="2" t="s">
        <v>569</v>
      </c>
      <c r="C159" s="2" t="s">
        <v>243</v>
      </c>
      <c r="D159" s="2" t="s">
        <v>1118</v>
      </c>
      <c r="E159" s="2" t="s">
        <v>1121</v>
      </c>
      <c r="F159" s="2"/>
      <c r="G159" s="2">
        <f t="shared" si="14"/>
        <v>0</v>
      </c>
      <c r="H159" s="2">
        <f t="shared" si="15"/>
        <v>0</v>
      </c>
      <c r="I159" s="2">
        <f t="shared" si="16"/>
        <v>0</v>
      </c>
      <c r="J159" s="2">
        <f t="shared" si="17"/>
        <v>0</v>
      </c>
      <c r="K159" s="2">
        <f t="shared" si="18"/>
        <v>0</v>
      </c>
      <c r="L159" s="2">
        <f t="shared" si="19"/>
        <v>1</v>
      </c>
      <c r="M159" s="2">
        <f t="shared" si="20"/>
        <v>0</v>
      </c>
    </row>
    <row r="160" spans="1:13" x14ac:dyDescent="0.3">
      <c r="A160" s="2" t="s">
        <v>727</v>
      </c>
      <c r="B160" s="2" t="s">
        <v>570</v>
      </c>
      <c r="C160" s="2" t="s">
        <v>243</v>
      </c>
      <c r="D160" s="2" t="s">
        <v>1119</v>
      </c>
      <c r="E160" s="2" t="s">
        <v>1121</v>
      </c>
      <c r="F160" s="2" t="s">
        <v>1116</v>
      </c>
      <c r="G160" s="2">
        <f t="shared" si="14"/>
        <v>0</v>
      </c>
      <c r="H160" s="2">
        <f t="shared" si="15"/>
        <v>0</v>
      </c>
      <c r="I160" s="2">
        <f t="shared" si="16"/>
        <v>0</v>
      </c>
      <c r="J160" s="2">
        <f t="shared" si="17"/>
        <v>0</v>
      </c>
      <c r="K160" s="2">
        <f t="shared" si="18"/>
        <v>1</v>
      </c>
      <c r="L160" s="2">
        <f t="shared" si="19"/>
        <v>1</v>
      </c>
      <c r="M160" s="2">
        <f t="shared" si="20"/>
        <v>0</v>
      </c>
    </row>
    <row r="161" spans="1:13" x14ac:dyDescent="0.3">
      <c r="A161" s="2" t="s">
        <v>181</v>
      </c>
      <c r="B161" s="2" t="s">
        <v>571</v>
      </c>
      <c r="C161" s="2" t="s">
        <v>275</v>
      </c>
      <c r="D161" s="2"/>
      <c r="E161" s="2"/>
      <c r="F161" s="2"/>
      <c r="G161" s="2">
        <f t="shared" si="14"/>
        <v>0</v>
      </c>
      <c r="H161" s="2">
        <f t="shared" si="15"/>
        <v>0</v>
      </c>
      <c r="I161" s="2">
        <f t="shared" si="16"/>
        <v>0</v>
      </c>
      <c r="J161" s="2">
        <f t="shared" si="17"/>
        <v>0</v>
      </c>
      <c r="K161" s="2">
        <f t="shared" si="18"/>
        <v>0</v>
      </c>
      <c r="L161" s="2">
        <f t="shared" si="19"/>
        <v>0</v>
      </c>
      <c r="M161" s="2">
        <f t="shared" si="20"/>
        <v>0</v>
      </c>
    </row>
    <row r="162" spans="1:13" x14ac:dyDescent="0.3">
      <c r="A162" s="2" t="s">
        <v>710</v>
      </c>
      <c r="B162" s="2" t="s">
        <v>572</v>
      </c>
      <c r="C162" s="2" t="s">
        <v>275</v>
      </c>
      <c r="D162" s="2" t="s">
        <v>1120</v>
      </c>
      <c r="E162" s="2" t="s">
        <v>1119</v>
      </c>
      <c r="F162" s="2" t="s">
        <v>1121</v>
      </c>
      <c r="G162" s="2">
        <f t="shared" si="14"/>
        <v>0</v>
      </c>
      <c r="H162" s="2">
        <f t="shared" si="15"/>
        <v>0</v>
      </c>
      <c r="I162" s="2">
        <f t="shared" si="16"/>
        <v>0</v>
      </c>
      <c r="J162" s="2">
        <f t="shared" si="17"/>
        <v>0</v>
      </c>
      <c r="K162" s="2">
        <f t="shared" si="18"/>
        <v>0</v>
      </c>
      <c r="L162" s="2">
        <f t="shared" si="19"/>
        <v>0</v>
      </c>
      <c r="M162" s="2">
        <f t="shared" si="20"/>
        <v>0</v>
      </c>
    </row>
    <row r="163" spans="1:13" x14ac:dyDescent="0.3">
      <c r="A163" s="2" t="s">
        <v>670</v>
      </c>
      <c r="B163" s="2" t="s">
        <v>558</v>
      </c>
      <c r="C163" s="2" t="s">
        <v>255</v>
      </c>
      <c r="D163" s="2" t="s">
        <v>1116</v>
      </c>
      <c r="E163" s="2"/>
      <c r="F163" s="2"/>
      <c r="G163" s="2">
        <f t="shared" si="14"/>
        <v>1</v>
      </c>
      <c r="H163" s="2">
        <f t="shared" si="15"/>
        <v>0</v>
      </c>
      <c r="I163" s="2">
        <f t="shared" si="16"/>
        <v>0</v>
      </c>
      <c r="J163" s="2">
        <f t="shared" si="17"/>
        <v>0</v>
      </c>
      <c r="K163" s="2">
        <f t="shared" si="18"/>
        <v>1</v>
      </c>
      <c r="L163" s="2">
        <f t="shared" si="19"/>
        <v>0</v>
      </c>
      <c r="M163" s="2">
        <f t="shared" si="20"/>
        <v>0</v>
      </c>
    </row>
    <row r="164" spans="1:13" x14ac:dyDescent="0.3">
      <c r="A164" s="2" t="s">
        <v>735</v>
      </c>
      <c r="B164" s="2" t="s">
        <v>573</v>
      </c>
      <c r="C164" s="2" t="s">
        <v>241</v>
      </c>
      <c r="D164" s="2"/>
      <c r="E164" s="2"/>
      <c r="F164" s="2"/>
      <c r="G164" s="2">
        <f t="shared" si="14"/>
        <v>0</v>
      </c>
      <c r="H164" s="2">
        <f t="shared" si="15"/>
        <v>0</v>
      </c>
      <c r="I164" s="2">
        <f t="shared" si="16"/>
        <v>0</v>
      </c>
      <c r="J164" s="2">
        <f t="shared" si="17"/>
        <v>1</v>
      </c>
      <c r="K164" s="2">
        <f t="shared" si="18"/>
        <v>0</v>
      </c>
      <c r="L164" s="2">
        <f t="shared" si="19"/>
        <v>0</v>
      </c>
      <c r="M164" s="2">
        <f t="shared" si="20"/>
        <v>0</v>
      </c>
    </row>
    <row r="165" spans="1:13" x14ac:dyDescent="0.3">
      <c r="A165" s="2" t="s">
        <v>163</v>
      </c>
      <c r="B165" s="2" t="s">
        <v>562</v>
      </c>
      <c r="C165" s="2" t="s">
        <v>243</v>
      </c>
      <c r="D165" s="2"/>
      <c r="E165" s="2"/>
      <c r="F165" s="2"/>
      <c r="G165" s="2">
        <f t="shared" si="14"/>
        <v>0</v>
      </c>
      <c r="H165" s="2">
        <f t="shared" si="15"/>
        <v>0</v>
      </c>
      <c r="I165" s="2">
        <f t="shared" si="16"/>
        <v>0</v>
      </c>
      <c r="J165" s="2">
        <f t="shared" si="17"/>
        <v>0</v>
      </c>
      <c r="K165" s="2">
        <f t="shared" si="18"/>
        <v>0</v>
      </c>
      <c r="L165" s="2">
        <f t="shared" si="19"/>
        <v>1</v>
      </c>
      <c r="M165" s="2">
        <f t="shared" si="20"/>
        <v>0</v>
      </c>
    </row>
    <row r="166" spans="1:13" x14ac:dyDescent="0.3">
      <c r="A166" s="2" t="s">
        <v>189</v>
      </c>
      <c r="B166" s="2" t="s">
        <v>564</v>
      </c>
      <c r="C166" s="2" t="s">
        <v>251</v>
      </c>
      <c r="D166" s="2" t="s">
        <v>1115</v>
      </c>
      <c r="E166" s="2"/>
      <c r="F166" s="2"/>
      <c r="G166" s="2">
        <f t="shared" si="14"/>
        <v>0</v>
      </c>
      <c r="H166" s="2">
        <f t="shared" si="15"/>
        <v>1</v>
      </c>
      <c r="I166" s="2">
        <f t="shared" si="16"/>
        <v>1</v>
      </c>
      <c r="J166" s="2">
        <f t="shared" si="17"/>
        <v>0</v>
      </c>
      <c r="K166" s="2">
        <f t="shared" si="18"/>
        <v>0</v>
      </c>
      <c r="L166" s="2">
        <f t="shared" si="19"/>
        <v>0</v>
      </c>
      <c r="M166" s="2">
        <f t="shared" si="20"/>
        <v>0</v>
      </c>
    </row>
    <row r="167" spans="1:13" x14ac:dyDescent="0.3">
      <c r="A167" s="2" t="s">
        <v>725</v>
      </c>
      <c r="B167" s="2" t="s">
        <v>538</v>
      </c>
      <c r="C167" s="2" t="s">
        <v>243</v>
      </c>
      <c r="D167" s="2" t="s">
        <v>1116</v>
      </c>
      <c r="E167" s="2" t="s">
        <v>1115</v>
      </c>
      <c r="F167" s="2" t="s">
        <v>1121</v>
      </c>
      <c r="G167" s="2">
        <f t="shared" si="14"/>
        <v>0</v>
      </c>
      <c r="H167" s="2">
        <f t="shared" si="15"/>
        <v>1</v>
      </c>
      <c r="I167" s="2">
        <f t="shared" si="16"/>
        <v>0</v>
      </c>
      <c r="J167" s="2">
        <f t="shared" si="17"/>
        <v>0</v>
      </c>
      <c r="K167" s="2">
        <f t="shared" si="18"/>
        <v>1</v>
      </c>
      <c r="L167" s="2">
        <f t="shared" si="19"/>
        <v>1</v>
      </c>
      <c r="M167" s="2">
        <f t="shared" si="20"/>
        <v>0</v>
      </c>
    </row>
    <row r="168" spans="1:13" x14ac:dyDescent="0.3">
      <c r="A168" s="2" t="s">
        <v>156</v>
      </c>
      <c r="B168" s="2" t="s">
        <v>548</v>
      </c>
      <c r="C168" s="2" t="s">
        <v>275</v>
      </c>
      <c r="D168" s="2" t="s">
        <v>1115</v>
      </c>
      <c r="E168" s="2" t="s">
        <v>1119</v>
      </c>
      <c r="F168" s="2" t="s">
        <v>1120</v>
      </c>
      <c r="G168" s="2">
        <f t="shared" si="14"/>
        <v>0</v>
      </c>
      <c r="H168" s="2">
        <f t="shared" si="15"/>
        <v>1</v>
      </c>
      <c r="I168" s="2">
        <f t="shared" si="16"/>
        <v>0</v>
      </c>
      <c r="J168" s="2">
        <f t="shared" si="17"/>
        <v>0</v>
      </c>
      <c r="K168" s="2">
        <f t="shared" si="18"/>
        <v>0</v>
      </c>
      <c r="L168" s="2">
        <f t="shared" si="19"/>
        <v>0</v>
      </c>
      <c r="M168" s="2">
        <f t="shared" si="20"/>
        <v>0</v>
      </c>
    </row>
    <row r="169" spans="1:13" x14ac:dyDescent="0.3">
      <c r="A169" s="2" t="s">
        <v>782</v>
      </c>
      <c r="B169" s="2" t="s">
        <v>574</v>
      </c>
      <c r="C169" s="2" t="s">
        <v>262</v>
      </c>
      <c r="D169" s="2"/>
      <c r="E169" s="2"/>
      <c r="F169" s="2"/>
      <c r="G169" s="2">
        <f t="shared" si="14"/>
        <v>0</v>
      </c>
      <c r="H169" s="2">
        <f t="shared" si="15"/>
        <v>0</v>
      </c>
      <c r="I169" s="2">
        <f t="shared" si="16"/>
        <v>0</v>
      </c>
      <c r="J169" s="2">
        <f t="shared" si="17"/>
        <v>0</v>
      </c>
      <c r="K169" s="2">
        <f t="shared" si="18"/>
        <v>0</v>
      </c>
      <c r="L169" s="2">
        <f t="shared" si="19"/>
        <v>0</v>
      </c>
      <c r="M169" s="2">
        <f t="shared" si="20"/>
        <v>1</v>
      </c>
    </row>
    <row r="170" spans="1:13" x14ac:dyDescent="0.3">
      <c r="A170" s="2" t="s">
        <v>800</v>
      </c>
      <c r="B170" s="2" t="s">
        <v>549</v>
      </c>
      <c r="C170" s="2" t="s">
        <v>255</v>
      </c>
      <c r="D170" s="2" t="s">
        <v>1115</v>
      </c>
      <c r="E170" s="2"/>
      <c r="F170" s="2"/>
      <c r="G170" s="2">
        <f t="shared" si="14"/>
        <v>1</v>
      </c>
      <c r="H170" s="2">
        <f t="shared" si="15"/>
        <v>1</v>
      </c>
      <c r="I170" s="2">
        <f t="shared" si="16"/>
        <v>0</v>
      </c>
      <c r="J170" s="2">
        <f t="shared" si="17"/>
        <v>0</v>
      </c>
      <c r="K170" s="2">
        <f t="shared" si="18"/>
        <v>0</v>
      </c>
      <c r="L170" s="2">
        <f t="shared" si="19"/>
        <v>0</v>
      </c>
      <c r="M170" s="2">
        <f t="shared" si="20"/>
        <v>0</v>
      </c>
    </row>
    <row r="171" spans="1:13" x14ac:dyDescent="0.3">
      <c r="A171" s="2" t="s">
        <v>221</v>
      </c>
      <c r="B171" s="2" t="s">
        <v>575</v>
      </c>
      <c r="C171" s="2" t="s">
        <v>255</v>
      </c>
      <c r="D171" s="2" t="s">
        <v>1117</v>
      </c>
      <c r="E171" s="2"/>
      <c r="F171" s="2"/>
      <c r="G171" s="2">
        <f t="shared" si="14"/>
        <v>1</v>
      </c>
      <c r="H171" s="2">
        <f t="shared" si="15"/>
        <v>0</v>
      </c>
      <c r="I171" s="2">
        <f t="shared" si="16"/>
        <v>0</v>
      </c>
      <c r="J171" s="2">
        <f t="shared" si="17"/>
        <v>0</v>
      </c>
      <c r="K171" s="2">
        <f t="shared" si="18"/>
        <v>0</v>
      </c>
      <c r="L171" s="2">
        <f t="shared" si="19"/>
        <v>0</v>
      </c>
      <c r="M171" s="2">
        <f t="shared" si="20"/>
        <v>0</v>
      </c>
    </row>
    <row r="172" spans="1:13" x14ac:dyDescent="0.3">
      <c r="A172" s="2" t="s">
        <v>144</v>
      </c>
      <c r="B172" s="2" t="s">
        <v>576</v>
      </c>
      <c r="C172" s="2" t="s">
        <v>243</v>
      </c>
      <c r="D172" s="2" t="s">
        <v>1115</v>
      </c>
      <c r="E172" s="2" t="s">
        <v>1120</v>
      </c>
      <c r="F172" s="2" t="s">
        <v>1119</v>
      </c>
      <c r="G172" s="2">
        <f t="shared" si="14"/>
        <v>0</v>
      </c>
      <c r="H172" s="2">
        <f t="shared" si="15"/>
        <v>1</v>
      </c>
      <c r="I172" s="2">
        <f t="shared" si="16"/>
        <v>0</v>
      </c>
      <c r="J172" s="2">
        <f t="shared" si="17"/>
        <v>0</v>
      </c>
      <c r="K172" s="2">
        <f t="shared" si="18"/>
        <v>0</v>
      </c>
      <c r="L172" s="2">
        <f t="shared" si="19"/>
        <v>1</v>
      </c>
      <c r="M172" s="2">
        <f t="shared" si="20"/>
        <v>0</v>
      </c>
    </row>
    <row r="173" spans="1:13" x14ac:dyDescent="0.3">
      <c r="A173" s="2" t="s">
        <v>803</v>
      </c>
      <c r="B173" s="2" t="s">
        <v>577</v>
      </c>
      <c r="C173" s="2" t="s">
        <v>275</v>
      </c>
      <c r="D173" s="2" t="s">
        <v>1117</v>
      </c>
      <c r="E173" s="2"/>
      <c r="F173" s="2"/>
      <c r="G173" s="2">
        <f t="shared" si="14"/>
        <v>0</v>
      </c>
      <c r="H173" s="2">
        <f t="shared" si="15"/>
        <v>0</v>
      </c>
      <c r="I173" s="2">
        <f t="shared" si="16"/>
        <v>0</v>
      </c>
      <c r="J173" s="2">
        <f t="shared" si="17"/>
        <v>0</v>
      </c>
      <c r="K173" s="2">
        <f t="shared" si="18"/>
        <v>0</v>
      </c>
      <c r="L173" s="2">
        <f t="shared" si="19"/>
        <v>0</v>
      </c>
      <c r="M173" s="2">
        <f t="shared" si="20"/>
        <v>0</v>
      </c>
    </row>
    <row r="174" spans="1:13" x14ac:dyDescent="0.3">
      <c r="A174" s="2" t="s">
        <v>763</v>
      </c>
      <c r="B174" s="2" t="s">
        <v>544</v>
      </c>
      <c r="C174" s="2" t="s">
        <v>255</v>
      </c>
      <c r="D174" s="2" t="s">
        <v>1120</v>
      </c>
      <c r="E174" s="2" t="s">
        <v>1117</v>
      </c>
      <c r="F174" s="2"/>
      <c r="G174" s="2">
        <f t="shared" si="14"/>
        <v>1</v>
      </c>
      <c r="H174" s="2">
        <f t="shared" si="15"/>
        <v>0</v>
      </c>
      <c r="I174" s="2">
        <f t="shared" si="16"/>
        <v>0</v>
      </c>
      <c r="J174" s="2">
        <f t="shared" si="17"/>
        <v>0</v>
      </c>
      <c r="K174" s="2">
        <f t="shared" si="18"/>
        <v>0</v>
      </c>
      <c r="L174" s="2">
        <f t="shared" si="19"/>
        <v>0</v>
      </c>
      <c r="M174" s="2">
        <f t="shared" si="20"/>
        <v>0</v>
      </c>
    </row>
    <row r="175" spans="1:13" x14ac:dyDescent="0.3">
      <c r="A175" s="2" t="s">
        <v>831</v>
      </c>
      <c r="B175" s="2" t="s">
        <v>578</v>
      </c>
      <c r="C175" s="2" t="s">
        <v>243</v>
      </c>
      <c r="D175" s="2" t="s">
        <v>1118</v>
      </c>
      <c r="E175" s="2"/>
      <c r="F175" s="2"/>
      <c r="G175" s="2">
        <f t="shared" si="14"/>
        <v>0</v>
      </c>
      <c r="H175" s="2">
        <f t="shared" si="15"/>
        <v>0</v>
      </c>
      <c r="I175" s="2">
        <f t="shared" si="16"/>
        <v>0</v>
      </c>
      <c r="J175" s="2">
        <f t="shared" si="17"/>
        <v>0</v>
      </c>
      <c r="K175" s="2">
        <f t="shared" si="18"/>
        <v>0</v>
      </c>
      <c r="L175" s="2">
        <f t="shared" si="19"/>
        <v>1</v>
      </c>
      <c r="M175" s="2">
        <f t="shared" si="20"/>
        <v>0</v>
      </c>
    </row>
    <row r="176" spans="1:13" x14ac:dyDescent="0.3">
      <c r="A176" s="2" t="s">
        <v>747</v>
      </c>
      <c r="B176" s="2" t="s">
        <v>545</v>
      </c>
      <c r="C176" s="2" t="s">
        <v>249</v>
      </c>
      <c r="D176" s="2" t="s">
        <v>1118</v>
      </c>
      <c r="E176" s="2" t="s">
        <v>1116</v>
      </c>
      <c r="F176" s="2"/>
      <c r="G176" s="2">
        <f t="shared" si="14"/>
        <v>0</v>
      </c>
      <c r="H176" s="2">
        <f t="shared" si="15"/>
        <v>0</v>
      </c>
      <c r="I176" s="2">
        <f t="shared" si="16"/>
        <v>0</v>
      </c>
      <c r="J176" s="2">
        <f t="shared" si="17"/>
        <v>0</v>
      </c>
      <c r="K176" s="2">
        <f t="shared" si="18"/>
        <v>1</v>
      </c>
      <c r="L176" s="2">
        <f t="shared" si="19"/>
        <v>0</v>
      </c>
      <c r="M176" s="2">
        <f t="shared" si="20"/>
        <v>0</v>
      </c>
    </row>
    <row r="177" spans="1:13" x14ac:dyDescent="0.3">
      <c r="A177" s="2" t="s">
        <v>884</v>
      </c>
      <c r="B177" s="2" t="s">
        <v>548</v>
      </c>
      <c r="C177" s="2" t="s">
        <v>275</v>
      </c>
      <c r="D177" s="2" t="s">
        <v>1120</v>
      </c>
      <c r="E177" s="2" t="s">
        <v>1119</v>
      </c>
      <c r="F177" s="2"/>
      <c r="G177" s="2">
        <f t="shared" si="14"/>
        <v>0</v>
      </c>
      <c r="H177" s="2">
        <f t="shared" si="15"/>
        <v>0</v>
      </c>
      <c r="I177" s="2">
        <f t="shared" si="16"/>
        <v>0</v>
      </c>
      <c r="J177" s="2">
        <f t="shared" si="17"/>
        <v>0</v>
      </c>
      <c r="K177" s="2">
        <f t="shared" si="18"/>
        <v>0</v>
      </c>
      <c r="L177" s="2">
        <f t="shared" si="19"/>
        <v>0</v>
      </c>
      <c r="M177" s="2">
        <f t="shared" si="20"/>
        <v>0</v>
      </c>
    </row>
    <row r="178" spans="1:13" x14ac:dyDescent="0.3">
      <c r="A178" s="2" t="s">
        <v>826</v>
      </c>
      <c r="B178" s="2" t="s">
        <v>579</v>
      </c>
      <c r="C178" s="2" t="s">
        <v>241</v>
      </c>
      <c r="D178" s="2" t="s">
        <v>1116</v>
      </c>
      <c r="E178" s="2"/>
      <c r="F178" s="2"/>
      <c r="G178" s="2">
        <f t="shared" si="14"/>
        <v>0</v>
      </c>
      <c r="H178" s="2">
        <f t="shared" si="15"/>
        <v>0</v>
      </c>
      <c r="I178" s="2">
        <f t="shared" si="16"/>
        <v>0</v>
      </c>
      <c r="J178" s="2">
        <f t="shared" si="17"/>
        <v>1</v>
      </c>
      <c r="K178" s="2">
        <f t="shared" si="18"/>
        <v>1</v>
      </c>
      <c r="L178" s="2">
        <f t="shared" si="19"/>
        <v>0</v>
      </c>
      <c r="M178" s="2">
        <f t="shared" si="20"/>
        <v>0</v>
      </c>
    </row>
    <row r="179" spans="1:13" x14ac:dyDescent="0.3">
      <c r="A179" s="2" t="s">
        <v>188</v>
      </c>
      <c r="B179" s="2" t="s">
        <v>580</v>
      </c>
      <c r="C179" s="2" t="s">
        <v>275</v>
      </c>
      <c r="D179" s="2"/>
      <c r="E179" s="2"/>
      <c r="F179" s="2"/>
      <c r="G179" s="2">
        <f t="shared" si="14"/>
        <v>0</v>
      </c>
      <c r="H179" s="2">
        <f t="shared" si="15"/>
        <v>0</v>
      </c>
      <c r="I179" s="2">
        <f t="shared" si="16"/>
        <v>0</v>
      </c>
      <c r="J179" s="2">
        <f t="shared" si="17"/>
        <v>0</v>
      </c>
      <c r="K179" s="2">
        <f t="shared" si="18"/>
        <v>0</v>
      </c>
      <c r="L179" s="2">
        <f t="shared" si="19"/>
        <v>0</v>
      </c>
      <c r="M179" s="2">
        <f t="shared" si="20"/>
        <v>0</v>
      </c>
    </row>
    <row r="180" spans="1:13" x14ac:dyDescent="0.3">
      <c r="A180" s="2" t="s">
        <v>216</v>
      </c>
      <c r="B180" s="2" t="s">
        <v>538</v>
      </c>
      <c r="C180" s="2" t="s">
        <v>243</v>
      </c>
      <c r="D180" s="2" t="s">
        <v>1121</v>
      </c>
      <c r="E180" s="2" t="s">
        <v>1116</v>
      </c>
      <c r="F180" s="2" t="s">
        <v>1115</v>
      </c>
      <c r="G180" s="2">
        <f t="shared" si="14"/>
        <v>0</v>
      </c>
      <c r="H180" s="2">
        <f t="shared" si="15"/>
        <v>1</v>
      </c>
      <c r="I180" s="2">
        <f t="shared" si="16"/>
        <v>0</v>
      </c>
      <c r="J180" s="2">
        <f t="shared" si="17"/>
        <v>0</v>
      </c>
      <c r="K180" s="2">
        <f t="shared" si="18"/>
        <v>1</v>
      </c>
      <c r="L180" s="2">
        <f t="shared" si="19"/>
        <v>1</v>
      </c>
      <c r="M180" s="2">
        <f t="shared" si="20"/>
        <v>0</v>
      </c>
    </row>
    <row r="181" spans="1:13" x14ac:dyDescent="0.3">
      <c r="A181" s="2" t="s">
        <v>864</v>
      </c>
      <c r="B181" s="2" t="s">
        <v>581</v>
      </c>
      <c r="C181" s="2" t="s">
        <v>275</v>
      </c>
      <c r="D181" s="2" t="s">
        <v>1121</v>
      </c>
      <c r="E181" s="2" t="s">
        <v>1115</v>
      </c>
      <c r="F181" s="2"/>
      <c r="G181" s="2">
        <f t="shared" si="14"/>
        <v>0</v>
      </c>
      <c r="H181" s="2">
        <f t="shared" si="15"/>
        <v>1</v>
      </c>
      <c r="I181" s="2">
        <f t="shared" si="16"/>
        <v>0</v>
      </c>
      <c r="J181" s="2">
        <f t="shared" si="17"/>
        <v>0</v>
      </c>
      <c r="K181" s="2">
        <f t="shared" si="18"/>
        <v>0</v>
      </c>
      <c r="L181" s="2">
        <f t="shared" si="19"/>
        <v>0</v>
      </c>
      <c r="M181" s="2">
        <f t="shared" si="20"/>
        <v>0</v>
      </c>
    </row>
    <row r="182" spans="1:13" x14ac:dyDescent="0.3">
      <c r="A182" s="2" t="s">
        <v>945</v>
      </c>
      <c r="B182" s="2" t="s">
        <v>532</v>
      </c>
      <c r="C182" s="2" t="s">
        <v>243</v>
      </c>
      <c r="D182" s="2" t="s">
        <v>1119</v>
      </c>
      <c r="E182" s="2" t="s">
        <v>1120</v>
      </c>
      <c r="F182" s="2"/>
      <c r="G182" s="2">
        <f t="shared" si="14"/>
        <v>0</v>
      </c>
      <c r="H182" s="2">
        <f t="shared" si="15"/>
        <v>0</v>
      </c>
      <c r="I182" s="2">
        <f t="shared" si="16"/>
        <v>0</v>
      </c>
      <c r="J182" s="2">
        <f t="shared" si="17"/>
        <v>0</v>
      </c>
      <c r="K182" s="2">
        <f t="shared" si="18"/>
        <v>0</v>
      </c>
      <c r="L182" s="2">
        <f t="shared" si="19"/>
        <v>1</v>
      </c>
      <c r="M182" s="2">
        <f t="shared" si="20"/>
        <v>0</v>
      </c>
    </row>
    <row r="183" spans="1:13" x14ac:dyDescent="0.3">
      <c r="A183" s="2" t="s">
        <v>1106</v>
      </c>
      <c r="B183" s="2" t="s">
        <v>582</v>
      </c>
      <c r="C183" s="2" t="s">
        <v>249</v>
      </c>
      <c r="D183" s="2" t="s">
        <v>1119</v>
      </c>
      <c r="E183" s="2" t="s">
        <v>1120</v>
      </c>
      <c r="F183" s="2" t="s">
        <v>1118</v>
      </c>
      <c r="G183" s="2">
        <f t="shared" si="14"/>
        <v>0</v>
      </c>
      <c r="H183" s="2">
        <f t="shared" si="15"/>
        <v>0</v>
      </c>
      <c r="I183" s="2">
        <f t="shared" si="16"/>
        <v>0</v>
      </c>
      <c r="J183" s="2">
        <f t="shared" si="17"/>
        <v>0</v>
      </c>
      <c r="K183" s="2">
        <f t="shared" si="18"/>
        <v>0</v>
      </c>
      <c r="L183" s="2">
        <f t="shared" si="19"/>
        <v>0</v>
      </c>
      <c r="M183" s="2">
        <f t="shared" si="20"/>
        <v>0</v>
      </c>
    </row>
    <row r="184" spans="1:13" x14ac:dyDescent="0.3">
      <c r="A184" s="2" t="s">
        <v>877</v>
      </c>
      <c r="B184" s="2" t="s">
        <v>583</v>
      </c>
      <c r="C184" s="2" t="s">
        <v>262</v>
      </c>
      <c r="D184" s="2" t="s">
        <v>1119</v>
      </c>
      <c r="E184" s="2" t="s">
        <v>1121</v>
      </c>
      <c r="F184" s="2"/>
      <c r="G184" s="2">
        <f t="shared" si="14"/>
        <v>0</v>
      </c>
      <c r="H184" s="2">
        <f t="shared" si="15"/>
        <v>0</v>
      </c>
      <c r="I184" s="2">
        <f t="shared" si="16"/>
        <v>0</v>
      </c>
      <c r="J184" s="2">
        <f t="shared" si="17"/>
        <v>0</v>
      </c>
      <c r="K184" s="2">
        <f t="shared" si="18"/>
        <v>0</v>
      </c>
      <c r="L184" s="2">
        <f t="shared" si="19"/>
        <v>0</v>
      </c>
      <c r="M184" s="2">
        <f t="shared" si="20"/>
        <v>1</v>
      </c>
    </row>
    <row r="185" spans="1:13" x14ac:dyDescent="0.3">
      <c r="A185" s="2" t="s">
        <v>141</v>
      </c>
      <c r="B185" s="2" t="s">
        <v>550</v>
      </c>
      <c r="C185" s="2" t="s">
        <v>262</v>
      </c>
      <c r="D185" s="2" t="s">
        <v>1118</v>
      </c>
      <c r="E185" s="2"/>
      <c r="F185" s="2"/>
      <c r="G185" s="2">
        <f t="shared" si="14"/>
        <v>0</v>
      </c>
      <c r="H185" s="2">
        <f t="shared" si="15"/>
        <v>0</v>
      </c>
      <c r="I185" s="2">
        <f t="shared" si="16"/>
        <v>0</v>
      </c>
      <c r="J185" s="2">
        <f t="shared" si="17"/>
        <v>0</v>
      </c>
      <c r="K185" s="2">
        <f t="shared" si="18"/>
        <v>0</v>
      </c>
      <c r="L185" s="2">
        <f t="shared" si="19"/>
        <v>0</v>
      </c>
      <c r="M185" s="2">
        <f t="shared" si="20"/>
        <v>1</v>
      </c>
    </row>
    <row r="186" spans="1:13" x14ac:dyDescent="0.3">
      <c r="A186" s="2" t="s">
        <v>895</v>
      </c>
      <c r="B186" s="2" t="s">
        <v>531</v>
      </c>
      <c r="C186" s="2" t="s">
        <v>255</v>
      </c>
      <c r="D186" s="2"/>
      <c r="E186" s="2"/>
      <c r="F186" s="2"/>
      <c r="G186" s="2">
        <f t="shared" si="14"/>
        <v>1</v>
      </c>
      <c r="H186" s="2">
        <f t="shared" si="15"/>
        <v>0</v>
      </c>
      <c r="I186" s="2">
        <f t="shared" si="16"/>
        <v>0</v>
      </c>
      <c r="J186" s="2">
        <f t="shared" si="17"/>
        <v>0</v>
      </c>
      <c r="K186" s="2">
        <f t="shared" si="18"/>
        <v>0</v>
      </c>
      <c r="L186" s="2">
        <f t="shared" si="19"/>
        <v>0</v>
      </c>
      <c r="M186" s="2">
        <f t="shared" si="20"/>
        <v>0</v>
      </c>
    </row>
    <row r="187" spans="1:13" x14ac:dyDescent="0.3">
      <c r="A187" s="2" t="s">
        <v>676</v>
      </c>
      <c r="B187" s="2" t="s">
        <v>577</v>
      </c>
      <c r="C187" s="2" t="s">
        <v>251</v>
      </c>
      <c r="D187" s="2" t="s">
        <v>1117</v>
      </c>
      <c r="E187" s="2" t="s">
        <v>1116</v>
      </c>
      <c r="F187" s="2" t="s">
        <v>1120</v>
      </c>
      <c r="G187" s="2">
        <f t="shared" si="14"/>
        <v>0</v>
      </c>
      <c r="H187" s="2">
        <f t="shared" si="15"/>
        <v>0</v>
      </c>
      <c r="I187" s="2">
        <f t="shared" si="16"/>
        <v>1</v>
      </c>
      <c r="J187" s="2">
        <f t="shared" si="17"/>
        <v>0</v>
      </c>
      <c r="K187" s="2">
        <f t="shared" si="18"/>
        <v>1</v>
      </c>
      <c r="L187" s="2">
        <f t="shared" si="19"/>
        <v>0</v>
      </c>
      <c r="M187" s="2">
        <f t="shared" si="20"/>
        <v>0</v>
      </c>
    </row>
    <row r="188" spans="1:13" x14ac:dyDescent="0.3">
      <c r="A188" s="2" t="s">
        <v>159</v>
      </c>
      <c r="B188" s="2" t="s">
        <v>584</v>
      </c>
      <c r="C188" s="2" t="s">
        <v>255</v>
      </c>
      <c r="D188" s="2" t="s">
        <v>1115</v>
      </c>
      <c r="E188" s="2" t="s">
        <v>1118</v>
      </c>
      <c r="F188" s="2"/>
      <c r="G188" s="2">
        <f t="shared" si="14"/>
        <v>1</v>
      </c>
      <c r="H188" s="2">
        <f t="shared" si="15"/>
        <v>1</v>
      </c>
      <c r="I188" s="2">
        <f t="shared" si="16"/>
        <v>0</v>
      </c>
      <c r="J188" s="2">
        <f t="shared" si="17"/>
        <v>0</v>
      </c>
      <c r="K188" s="2">
        <f t="shared" si="18"/>
        <v>0</v>
      </c>
      <c r="L188" s="2">
        <f t="shared" si="19"/>
        <v>0</v>
      </c>
      <c r="M188" s="2">
        <f t="shared" si="20"/>
        <v>0</v>
      </c>
    </row>
    <row r="189" spans="1:13" x14ac:dyDescent="0.3">
      <c r="A189" s="2" t="s">
        <v>817</v>
      </c>
      <c r="B189" s="2" t="s">
        <v>579</v>
      </c>
      <c r="C189" s="2" t="s">
        <v>243</v>
      </c>
      <c r="D189" s="2"/>
      <c r="E189" s="2"/>
      <c r="F189" s="2"/>
      <c r="G189" s="2">
        <f t="shared" si="14"/>
        <v>0</v>
      </c>
      <c r="H189" s="2">
        <f t="shared" si="15"/>
        <v>0</v>
      </c>
      <c r="I189" s="2">
        <f t="shared" si="16"/>
        <v>0</v>
      </c>
      <c r="J189" s="2">
        <f t="shared" si="17"/>
        <v>0</v>
      </c>
      <c r="K189" s="2">
        <f t="shared" si="18"/>
        <v>0</v>
      </c>
      <c r="L189" s="2">
        <f t="shared" si="19"/>
        <v>1</v>
      </c>
      <c r="M189" s="2">
        <f t="shared" si="20"/>
        <v>0</v>
      </c>
    </row>
    <row r="190" spans="1:13" x14ac:dyDescent="0.3">
      <c r="A190" s="2" t="s">
        <v>753</v>
      </c>
      <c r="B190" s="2" t="s">
        <v>565</v>
      </c>
      <c r="C190" s="2" t="s">
        <v>241</v>
      </c>
      <c r="D190" s="2" t="s">
        <v>1117</v>
      </c>
      <c r="E190" s="2" t="s">
        <v>1115</v>
      </c>
      <c r="F190" s="2"/>
      <c r="G190" s="2">
        <f t="shared" si="14"/>
        <v>0</v>
      </c>
      <c r="H190" s="2">
        <f t="shared" si="15"/>
        <v>1</v>
      </c>
      <c r="I190" s="2">
        <f t="shared" si="16"/>
        <v>0</v>
      </c>
      <c r="J190" s="2">
        <f t="shared" si="17"/>
        <v>1</v>
      </c>
      <c r="K190" s="2">
        <f t="shared" si="18"/>
        <v>0</v>
      </c>
      <c r="L190" s="2">
        <f t="shared" si="19"/>
        <v>0</v>
      </c>
      <c r="M190" s="2">
        <f t="shared" si="20"/>
        <v>0</v>
      </c>
    </row>
    <row r="191" spans="1:13" x14ac:dyDescent="0.3">
      <c r="A191" s="2" t="s">
        <v>743</v>
      </c>
      <c r="B191" s="2" t="s">
        <v>532</v>
      </c>
      <c r="C191" s="2" t="s">
        <v>243</v>
      </c>
      <c r="D191" s="2" t="s">
        <v>1115</v>
      </c>
      <c r="E191" s="2" t="s">
        <v>1120</v>
      </c>
      <c r="F191" s="2"/>
      <c r="G191" s="2">
        <f t="shared" si="14"/>
        <v>0</v>
      </c>
      <c r="H191" s="2">
        <f t="shared" si="15"/>
        <v>1</v>
      </c>
      <c r="I191" s="2">
        <f t="shared" si="16"/>
        <v>0</v>
      </c>
      <c r="J191" s="2">
        <f t="shared" si="17"/>
        <v>0</v>
      </c>
      <c r="K191" s="2">
        <f t="shared" si="18"/>
        <v>0</v>
      </c>
      <c r="L191" s="2">
        <f t="shared" si="19"/>
        <v>1</v>
      </c>
      <c r="M191" s="2">
        <f t="shared" si="20"/>
        <v>0</v>
      </c>
    </row>
    <row r="192" spans="1:13" x14ac:dyDescent="0.3">
      <c r="A192" s="2" t="s">
        <v>886</v>
      </c>
      <c r="B192" s="2" t="s">
        <v>585</v>
      </c>
      <c r="C192" s="2" t="s">
        <v>249</v>
      </c>
      <c r="D192" s="2" t="s">
        <v>1116</v>
      </c>
      <c r="E192" s="2"/>
      <c r="F192" s="2"/>
      <c r="G192" s="2">
        <f t="shared" si="14"/>
        <v>0</v>
      </c>
      <c r="H192" s="2">
        <f t="shared" si="15"/>
        <v>0</v>
      </c>
      <c r="I192" s="2">
        <f t="shared" si="16"/>
        <v>0</v>
      </c>
      <c r="J192" s="2">
        <f t="shared" si="17"/>
        <v>0</v>
      </c>
      <c r="K192" s="2">
        <f t="shared" si="18"/>
        <v>1</v>
      </c>
      <c r="L192" s="2">
        <f t="shared" si="19"/>
        <v>0</v>
      </c>
      <c r="M192" s="2">
        <f t="shared" si="20"/>
        <v>0</v>
      </c>
    </row>
    <row r="193" spans="1:13" x14ac:dyDescent="0.3">
      <c r="A193" s="2" t="s">
        <v>909</v>
      </c>
      <c r="B193" s="2" t="s">
        <v>566</v>
      </c>
      <c r="C193" s="2" t="s">
        <v>255</v>
      </c>
      <c r="D193" s="2" t="s">
        <v>1120</v>
      </c>
      <c r="E193" s="2" t="s">
        <v>1116</v>
      </c>
      <c r="F193" s="2" t="s">
        <v>1115</v>
      </c>
      <c r="G193" s="2">
        <f t="shared" si="14"/>
        <v>1</v>
      </c>
      <c r="H193" s="2">
        <f t="shared" si="15"/>
        <v>1</v>
      </c>
      <c r="I193" s="2">
        <f t="shared" si="16"/>
        <v>0</v>
      </c>
      <c r="J193" s="2">
        <f t="shared" si="17"/>
        <v>0</v>
      </c>
      <c r="K193" s="2">
        <f t="shared" si="18"/>
        <v>1</v>
      </c>
      <c r="L193" s="2">
        <f t="shared" si="19"/>
        <v>0</v>
      </c>
      <c r="M193" s="2">
        <f t="shared" si="20"/>
        <v>0</v>
      </c>
    </row>
    <row r="194" spans="1:13" x14ac:dyDescent="0.3">
      <c r="A194" s="2" t="s">
        <v>693</v>
      </c>
      <c r="B194" s="2" t="s">
        <v>586</v>
      </c>
      <c r="C194" s="2" t="s">
        <v>241</v>
      </c>
      <c r="D194" s="2"/>
      <c r="E194" s="2"/>
      <c r="F194" s="2"/>
      <c r="G194" s="2">
        <f t="shared" si="14"/>
        <v>0</v>
      </c>
      <c r="H194" s="2">
        <f t="shared" si="15"/>
        <v>0</v>
      </c>
      <c r="I194" s="2">
        <f t="shared" si="16"/>
        <v>0</v>
      </c>
      <c r="J194" s="2">
        <f t="shared" si="17"/>
        <v>1</v>
      </c>
      <c r="K194" s="2">
        <f t="shared" si="18"/>
        <v>0</v>
      </c>
      <c r="L194" s="2">
        <f t="shared" si="19"/>
        <v>0</v>
      </c>
      <c r="M194" s="2">
        <f t="shared" si="20"/>
        <v>0</v>
      </c>
    </row>
    <row r="195" spans="1:13" x14ac:dyDescent="0.3">
      <c r="A195" s="2" t="s">
        <v>161</v>
      </c>
      <c r="B195" s="2" t="s">
        <v>587</v>
      </c>
      <c r="C195" s="2" t="s">
        <v>251</v>
      </c>
      <c r="D195" s="2" t="s">
        <v>1116</v>
      </c>
      <c r="E195" s="2"/>
      <c r="F195" s="2"/>
      <c r="G195" s="2">
        <f t="shared" ref="G195:G258" si="21">IF(COUNTIF(C195:F195,"Community Activities")&gt;0,1,0)</f>
        <v>0</v>
      </c>
      <c r="H195" s="2">
        <f t="shared" ref="H195:H258" si="22">IF(COUNTIF(C195:F195," Employment Assistance")&gt;0,1,0)</f>
        <v>0</v>
      </c>
      <c r="I195" s="2">
        <f t="shared" ref="I195:I258" si="23">IF(COUNTIF(C195:F195,"Housing")&gt;0,1,0)</f>
        <v>1</v>
      </c>
      <c r="J195" s="2">
        <f t="shared" ref="J195:J258" si="24">IF(COUNTIF(C195:F195,"Medical")&gt;0,1,0)</f>
        <v>0</v>
      </c>
      <c r="K195" s="2">
        <f t="shared" ref="K195:K258" si="25">IF(COUNTIF(C195:F195," Schooling")&gt;0,1,0)</f>
        <v>1</v>
      </c>
      <c r="L195" s="2">
        <f t="shared" ref="L195:L258" si="26">IF(COUNTIF(C195:F195,"Transport")&gt;0,1,0)</f>
        <v>0</v>
      </c>
      <c r="M195" s="2">
        <f t="shared" ref="M195:M258" si="27">IF(COUNTIF(C195:F195,"Canteen")&gt;0,1,0)</f>
        <v>0</v>
      </c>
    </row>
    <row r="196" spans="1:13" x14ac:dyDescent="0.3">
      <c r="A196" s="2" t="s">
        <v>745</v>
      </c>
      <c r="B196" s="2" t="s">
        <v>584</v>
      </c>
      <c r="C196" s="2" t="s">
        <v>255</v>
      </c>
      <c r="D196" s="2"/>
      <c r="E196" s="2"/>
      <c r="F196" s="2"/>
      <c r="G196" s="2">
        <f t="shared" si="21"/>
        <v>1</v>
      </c>
      <c r="H196" s="2">
        <f t="shared" si="22"/>
        <v>0</v>
      </c>
      <c r="I196" s="2">
        <f t="shared" si="23"/>
        <v>0</v>
      </c>
      <c r="J196" s="2">
        <f t="shared" si="24"/>
        <v>0</v>
      </c>
      <c r="K196" s="2">
        <f t="shared" si="25"/>
        <v>0</v>
      </c>
      <c r="L196" s="2">
        <f t="shared" si="26"/>
        <v>0</v>
      </c>
      <c r="M196" s="2">
        <f t="shared" si="27"/>
        <v>0</v>
      </c>
    </row>
    <row r="197" spans="1:13" x14ac:dyDescent="0.3">
      <c r="A197" s="2" t="s">
        <v>682</v>
      </c>
      <c r="B197" s="2" t="s">
        <v>529</v>
      </c>
      <c r="C197" s="2" t="s">
        <v>251</v>
      </c>
      <c r="D197" s="2" t="s">
        <v>1120</v>
      </c>
      <c r="E197" s="2" t="s">
        <v>1117</v>
      </c>
      <c r="F197" s="2"/>
      <c r="G197" s="2">
        <f t="shared" si="21"/>
        <v>0</v>
      </c>
      <c r="H197" s="2">
        <f t="shared" si="22"/>
        <v>0</v>
      </c>
      <c r="I197" s="2">
        <f t="shared" si="23"/>
        <v>1</v>
      </c>
      <c r="J197" s="2">
        <f t="shared" si="24"/>
        <v>0</v>
      </c>
      <c r="K197" s="2">
        <f t="shared" si="25"/>
        <v>0</v>
      </c>
      <c r="L197" s="2">
        <f t="shared" si="26"/>
        <v>0</v>
      </c>
      <c r="M197" s="2">
        <f t="shared" si="27"/>
        <v>0</v>
      </c>
    </row>
    <row r="198" spans="1:13" x14ac:dyDescent="0.3">
      <c r="A198" s="2" t="s">
        <v>672</v>
      </c>
      <c r="B198" s="2" t="s">
        <v>588</v>
      </c>
      <c r="C198" s="2" t="s">
        <v>275</v>
      </c>
      <c r="D198" s="2" t="s">
        <v>1115</v>
      </c>
      <c r="E198" s="2" t="s">
        <v>1121</v>
      </c>
      <c r="F198" s="2" t="s">
        <v>1119</v>
      </c>
      <c r="G198" s="2">
        <f t="shared" si="21"/>
        <v>0</v>
      </c>
      <c r="H198" s="2">
        <f t="shared" si="22"/>
        <v>1</v>
      </c>
      <c r="I198" s="2">
        <f t="shared" si="23"/>
        <v>0</v>
      </c>
      <c r="J198" s="2">
        <f t="shared" si="24"/>
        <v>0</v>
      </c>
      <c r="K198" s="2">
        <f t="shared" si="25"/>
        <v>0</v>
      </c>
      <c r="L198" s="2">
        <f t="shared" si="26"/>
        <v>0</v>
      </c>
      <c r="M198" s="2">
        <f t="shared" si="27"/>
        <v>0</v>
      </c>
    </row>
    <row r="199" spans="1:13" x14ac:dyDescent="0.3">
      <c r="A199" s="2" t="s">
        <v>760</v>
      </c>
      <c r="B199" s="2" t="s">
        <v>589</v>
      </c>
      <c r="C199" s="2" t="s">
        <v>241</v>
      </c>
      <c r="D199" s="2" t="s">
        <v>1121</v>
      </c>
      <c r="E199" s="2"/>
      <c r="F199" s="2"/>
      <c r="G199" s="2">
        <f t="shared" si="21"/>
        <v>0</v>
      </c>
      <c r="H199" s="2">
        <f t="shared" si="22"/>
        <v>0</v>
      </c>
      <c r="I199" s="2">
        <f t="shared" si="23"/>
        <v>0</v>
      </c>
      <c r="J199" s="2">
        <f t="shared" si="24"/>
        <v>1</v>
      </c>
      <c r="K199" s="2">
        <f t="shared" si="25"/>
        <v>0</v>
      </c>
      <c r="L199" s="2">
        <f t="shared" si="26"/>
        <v>0</v>
      </c>
      <c r="M199" s="2">
        <f t="shared" si="27"/>
        <v>0</v>
      </c>
    </row>
    <row r="200" spans="1:13" x14ac:dyDescent="0.3">
      <c r="A200" s="2" t="s">
        <v>879</v>
      </c>
      <c r="B200" s="2" t="s">
        <v>590</v>
      </c>
      <c r="C200" s="2" t="s">
        <v>255</v>
      </c>
      <c r="D200" s="2" t="s">
        <v>1117</v>
      </c>
      <c r="E200" s="2"/>
      <c r="F200" s="2"/>
      <c r="G200" s="2">
        <f t="shared" si="21"/>
        <v>1</v>
      </c>
      <c r="H200" s="2">
        <f t="shared" si="22"/>
        <v>0</v>
      </c>
      <c r="I200" s="2">
        <f t="shared" si="23"/>
        <v>0</v>
      </c>
      <c r="J200" s="2">
        <f t="shared" si="24"/>
        <v>0</v>
      </c>
      <c r="K200" s="2">
        <f t="shared" si="25"/>
        <v>0</v>
      </c>
      <c r="L200" s="2">
        <f t="shared" si="26"/>
        <v>0</v>
      </c>
      <c r="M200" s="2">
        <f t="shared" si="27"/>
        <v>0</v>
      </c>
    </row>
    <row r="201" spans="1:13" x14ac:dyDescent="0.3">
      <c r="A201" s="2" t="s">
        <v>203</v>
      </c>
      <c r="B201" s="2" t="s">
        <v>591</v>
      </c>
      <c r="C201" s="2" t="s">
        <v>251</v>
      </c>
      <c r="D201" s="2" t="s">
        <v>1121</v>
      </c>
      <c r="E201" s="2" t="s">
        <v>1115</v>
      </c>
      <c r="F201" s="2" t="s">
        <v>1116</v>
      </c>
      <c r="G201" s="2">
        <f t="shared" si="21"/>
        <v>0</v>
      </c>
      <c r="H201" s="2">
        <f t="shared" si="22"/>
        <v>1</v>
      </c>
      <c r="I201" s="2">
        <f t="shared" si="23"/>
        <v>1</v>
      </c>
      <c r="J201" s="2">
        <f t="shared" si="24"/>
        <v>0</v>
      </c>
      <c r="K201" s="2">
        <f t="shared" si="25"/>
        <v>1</v>
      </c>
      <c r="L201" s="2">
        <f t="shared" si="26"/>
        <v>0</v>
      </c>
      <c r="M201" s="2">
        <f t="shared" si="27"/>
        <v>0</v>
      </c>
    </row>
    <row r="202" spans="1:13" x14ac:dyDescent="0.3">
      <c r="A202" s="2" t="s">
        <v>821</v>
      </c>
      <c r="B202" s="2" t="s">
        <v>592</v>
      </c>
      <c r="C202" s="2" t="s">
        <v>241</v>
      </c>
      <c r="D202" s="2" t="s">
        <v>1121</v>
      </c>
      <c r="E202" s="2" t="s">
        <v>1117</v>
      </c>
      <c r="F202" s="2" t="s">
        <v>1119</v>
      </c>
      <c r="G202" s="2">
        <f t="shared" si="21"/>
        <v>0</v>
      </c>
      <c r="H202" s="2">
        <f t="shared" si="22"/>
        <v>0</v>
      </c>
      <c r="I202" s="2">
        <f t="shared" si="23"/>
        <v>0</v>
      </c>
      <c r="J202" s="2">
        <f t="shared" si="24"/>
        <v>1</v>
      </c>
      <c r="K202" s="2">
        <f t="shared" si="25"/>
        <v>0</v>
      </c>
      <c r="L202" s="2">
        <f t="shared" si="26"/>
        <v>0</v>
      </c>
      <c r="M202" s="2">
        <f t="shared" si="27"/>
        <v>0</v>
      </c>
    </row>
    <row r="203" spans="1:13" x14ac:dyDescent="0.3">
      <c r="A203" s="2" t="s">
        <v>830</v>
      </c>
      <c r="B203" s="2" t="s">
        <v>593</v>
      </c>
      <c r="C203" s="2" t="s">
        <v>262</v>
      </c>
      <c r="D203" s="2"/>
      <c r="E203" s="2"/>
      <c r="F203" s="2"/>
      <c r="G203" s="2">
        <f t="shared" si="21"/>
        <v>0</v>
      </c>
      <c r="H203" s="2">
        <f t="shared" si="22"/>
        <v>0</v>
      </c>
      <c r="I203" s="2">
        <f t="shared" si="23"/>
        <v>0</v>
      </c>
      <c r="J203" s="2">
        <f t="shared" si="24"/>
        <v>0</v>
      </c>
      <c r="K203" s="2">
        <f t="shared" si="25"/>
        <v>0</v>
      </c>
      <c r="L203" s="2">
        <f t="shared" si="26"/>
        <v>0</v>
      </c>
      <c r="M203" s="2">
        <f t="shared" si="27"/>
        <v>1</v>
      </c>
    </row>
    <row r="204" spans="1:13" x14ac:dyDescent="0.3">
      <c r="A204" s="2" t="s">
        <v>749</v>
      </c>
      <c r="B204" s="2" t="s">
        <v>594</v>
      </c>
      <c r="C204" s="2" t="s">
        <v>255</v>
      </c>
      <c r="D204" s="2" t="s">
        <v>1116</v>
      </c>
      <c r="E204" s="2" t="s">
        <v>1118</v>
      </c>
      <c r="F204" s="2"/>
      <c r="G204" s="2">
        <f t="shared" si="21"/>
        <v>1</v>
      </c>
      <c r="H204" s="2">
        <f t="shared" si="22"/>
        <v>0</v>
      </c>
      <c r="I204" s="2">
        <f t="shared" si="23"/>
        <v>0</v>
      </c>
      <c r="J204" s="2">
        <f t="shared" si="24"/>
        <v>0</v>
      </c>
      <c r="K204" s="2">
        <f t="shared" si="25"/>
        <v>1</v>
      </c>
      <c r="L204" s="2">
        <f t="shared" si="26"/>
        <v>0</v>
      </c>
      <c r="M204" s="2">
        <f t="shared" si="27"/>
        <v>0</v>
      </c>
    </row>
    <row r="205" spans="1:13" x14ac:dyDescent="0.3">
      <c r="A205" s="2" t="s">
        <v>788</v>
      </c>
      <c r="B205" s="2" t="s">
        <v>586</v>
      </c>
      <c r="C205" s="2" t="s">
        <v>243</v>
      </c>
      <c r="D205" s="2" t="s">
        <v>1121</v>
      </c>
      <c r="E205" s="2"/>
      <c r="F205" s="2"/>
      <c r="G205" s="2">
        <f t="shared" si="21"/>
        <v>0</v>
      </c>
      <c r="H205" s="2">
        <f t="shared" si="22"/>
        <v>0</v>
      </c>
      <c r="I205" s="2">
        <f t="shared" si="23"/>
        <v>0</v>
      </c>
      <c r="J205" s="2">
        <f t="shared" si="24"/>
        <v>0</v>
      </c>
      <c r="K205" s="2">
        <f t="shared" si="25"/>
        <v>0</v>
      </c>
      <c r="L205" s="2">
        <f t="shared" si="26"/>
        <v>1</v>
      </c>
      <c r="M205" s="2">
        <f t="shared" si="27"/>
        <v>0</v>
      </c>
    </row>
    <row r="206" spans="1:13" x14ac:dyDescent="0.3">
      <c r="A206" s="2" t="s">
        <v>758</v>
      </c>
      <c r="B206" s="2" t="s">
        <v>595</v>
      </c>
      <c r="C206" s="2" t="s">
        <v>275</v>
      </c>
      <c r="D206" s="2"/>
      <c r="E206" s="2"/>
      <c r="F206" s="2"/>
      <c r="G206" s="2">
        <f t="shared" si="21"/>
        <v>0</v>
      </c>
      <c r="H206" s="2">
        <f t="shared" si="22"/>
        <v>0</v>
      </c>
      <c r="I206" s="2">
        <f t="shared" si="23"/>
        <v>0</v>
      </c>
      <c r="J206" s="2">
        <f t="shared" si="24"/>
        <v>0</v>
      </c>
      <c r="K206" s="2">
        <f t="shared" si="25"/>
        <v>0</v>
      </c>
      <c r="L206" s="2">
        <f t="shared" si="26"/>
        <v>0</v>
      </c>
      <c r="M206" s="2">
        <f t="shared" si="27"/>
        <v>0</v>
      </c>
    </row>
    <row r="207" spans="1:13" x14ac:dyDescent="0.3">
      <c r="A207" s="2" t="s">
        <v>692</v>
      </c>
      <c r="B207" s="2" t="s">
        <v>528</v>
      </c>
      <c r="C207" s="2" t="s">
        <v>255</v>
      </c>
      <c r="D207" s="2" t="s">
        <v>1117</v>
      </c>
      <c r="E207" s="2" t="s">
        <v>1119</v>
      </c>
      <c r="F207" s="2"/>
      <c r="G207" s="2">
        <f t="shared" si="21"/>
        <v>1</v>
      </c>
      <c r="H207" s="2">
        <f t="shared" si="22"/>
        <v>0</v>
      </c>
      <c r="I207" s="2">
        <f t="shared" si="23"/>
        <v>0</v>
      </c>
      <c r="J207" s="2">
        <f t="shared" si="24"/>
        <v>0</v>
      </c>
      <c r="K207" s="2">
        <f t="shared" si="25"/>
        <v>0</v>
      </c>
      <c r="L207" s="2">
        <f t="shared" si="26"/>
        <v>0</v>
      </c>
      <c r="M207" s="2">
        <f t="shared" si="27"/>
        <v>0</v>
      </c>
    </row>
    <row r="208" spans="1:13" x14ac:dyDescent="0.3">
      <c r="A208" s="2" t="s">
        <v>210</v>
      </c>
      <c r="B208" s="2" t="s">
        <v>537</v>
      </c>
      <c r="C208" s="2" t="s">
        <v>275</v>
      </c>
      <c r="D208" s="2" t="s">
        <v>1115</v>
      </c>
      <c r="E208" s="2" t="s">
        <v>1118</v>
      </c>
      <c r="F208" s="2" t="s">
        <v>1119</v>
      </c>
      <c r="G208" s="2">
        <f t="shared" si="21"/>
        <v>0</v>
      </c>
      <c r="H208" s="2">
        <f t="shared" si="22"/>
        <v>1</v>
      </c>
      <c r="I208" s="2">
        <f t="shared" si="23"/>
        <v>0</v>
      </c>
      <c r="J208" s="2">
        <f t="shared" si="24"/>
        <v>0</v>
      </c>
      <c r="K208" s="2">
        <f t="shared" si="25"/>
        <v>0</v>
      </c>
      <c r="L208" s="2">
        <f t="shared" si="26"/>
        <v>0</v>
      </c>
      <c r="M208" s="2">
        <f t="shared" si="27"/>
        <v>0</v>
      </c>
    </row>
    <row r="209" spans="1:13" x14ac:dyDescent="0.3">
      <c r="A209" s="2" t="s">
        <v>179</v>
      </c>
      <c r="B209" s="2" t="s">
        <v>556</v>
      </c>
      <c r="C209" s="2" t="s">
        <v>255</v>
      </c>
      <c r="D209" s="2"/>
      <c r="E209" s="2"/>
      <c r="F209" s="2"/>
      <c r="G209" s="2">
        <f t="shared" si="21"/>
        <v>1</v>
      </c>
      <c r="H209" s="2">
        <f t="shared" si="22"/>
        <v>0</v>
      </c>
      <c r="I209" s="2">
        <f t="shared" si="23"/>
        <v>0</v>
      </c>
      <c r="J209" s="2">
        <f t="shared" si="24"/>
        <v>0</v>
      </c>
      <c r="K209" s="2">
        <f t="shared" si="25"/>
        <v>0</v>
      </c>
      <c r="L209" s="2">
        <f t="shared" si="26"/>
        <v>0</v>
      </c>
      <c r="M209" s="2">
        <f t="shared" si="27"/>
        <v>0</v>
      </c>
    </row>
    <row r="210" spans="1:13" x14ac:dyDescent="0.3">
      <c r="A210" s="2" t="s">
        <v>774</v>
      </c>
      <c r="B210" s="2" t="s">
        <v>596</v>
      </c>
      <c r="C210" s="2" t="s">
        <v>241</v>
      </c>
      <c r="D210" s="2" t="s">
        <v>1121</v>
      </c>
      <c r="E210" s="2"/>
      <c r="F210" s="2"/>
      <c r="G210" s="2">
        <f t="shared" si="21"/>
        <v>0</v>
      </c>
      <c r="H210" s="2">
        <f t="shared" si="22"/>
        <v>0</v>
      </c>
      <c r="I210" s="2">
        <f t="shared" si="23"/>
        <v>0</v>
      </c>
      <c r="J210" s="2">
        <f t="shared" si="24"/>
        <v>1</v>
      </c>
      <c r="K210" s="2">
        <f t="shared" si="25"/>
        <v>0</v>
      </c>
      <c r="L210" s="2">
        <f t="shared" si="26"/>
        <v>0</v>
      </c>
      <c r="M210" s="2">
        <f t="shared" si="27"/>
        <v>0</v>
      </c>
    </row>
    <row r="211" spans="1:13" x14ac:dyDescent="0.3">
      <c r="A211" s="2" t="s">
        <v>849</v>
      </c>
      <c r="B211" s="2" t="s">
        <v>596</v>
      </c>
      <c r="C211" s="2" t="s">
        <v>255</v>
      </c>
      <c r="D211" s="2" t="s">
        <v>1117</v>
      </c>
      <c r="E211" s="2" t="s">
        <v>1115</v>
      </c>
      <c r="F211" s="2"/>
      <c r="G211" s="2">
        <f t="shared" si="21"/>
        <v>1</v>
      </c>
      <c r="H211" s="2">
        <f t="shared" si="22"/>
        <v>1</v>
      </c>
      <c r="I211" s="2">
        <f t="shared" si="23"/>
        <v>0</v>
      </c>
      <c r="J211" s="2">
        <f t="shared" si="24"/>
        <v>0</v>
      </c>
      <c r="K211" s="2">
        <f t="shared" si="25"/>
        <v>0</v>
      </c>
      <c r="L211" s="2">
        <f t="shared" si="26"/>
        <v>0</v>
      </c>
      <c r="M211" s="2">
        <f t="shared" si="27"/>
        <v>0</v>
      </c>
    </row>
    <row r="212" spans="1:13" x14ac:dyDescent="0.3">
      <c r="A212" s="2" t="s">
        <v>941</v>
      </c>
      <c r="B212" s="2" t="s">
        <v>597</v>
      </c>
      <c r="C212" s="2" t="s">
        <v>243</v>
      </c>
      <c r="D212" s="2"/>
      <c r="E212" s="2"/>
      <c r="F212" s="2"/>
      <c r="G212" s="2">
        <f t="shared" si="21"/>
        <v>0</v>
      </c>
      <c r="H212" s="2">
        <f t="shared" si="22"/>
        <v>0</v>
      </c>
      <c r="I212" s="2">
        <f t="shared" si="23"/>
        <v>0</v>
      </c>
      <c r="J212" s="2">
        <f t="shared" si="24"/>
        <v>0</v>
      </c>
      <c r="K212" s="2">
        <f t="shared" si="25"/>
        <v>0</v>
      </c>
      <c r="L212" s="2">
        <f t="shared" si="26"/>
        <v>1</v>
      </c>
      <c r="M212" s="2">
        <f t="shared" si="27"/>
        <v>0</v>
      </c>
    </row>
    <row r="213" spans="1:13" x14ac:dyDescent="0.3">
      <c r="A213" s="2" t="s">
        <v>700</v>
      </c>
      <c r="B213" s="2" t="s">
        <v>598</v>
      </c>
      <c r="C213" s="2" t="s">
        <v>275</v>
      </c>
      <c r="D213" s="2" t="s">
        <v>1120</v>
      </c>
      <c r="E213" s="2"/>
      <c r="F213" s="2"/>
      <c r="G213" s="2">
        <f t="shared" si="21"/>
        <v>0</v>
      </c>
      <c r="H213" s="2">
        <f t="shared" si="22"/>
        <v>0</v>
      </c>
      <c r="I213" s="2">
        <f t="shared" si="23"/>
        <v>0</v>
      </c>
      <c r="J213" s="2">
        <f t="shared" si="24"/>
        <v>0</v>
      </c>
      <c r="K213" s="2">
        <f t="shared" si="25"/>
        <v>0</v>
      </c>
      <c r="L213" s="2">
        <f t="shared" si="26"/>
        <v>0</v>
      </c>
      <c r="M213" s="2">
        <f t="shared" si="27"/>
        <v>0</v>
      </c>
    </row>
    <row r="214" spans="1:13" x14ac:dyDescent="0.3">
      <c r="A214" s="2" t="s">
        <v>863</v>
      </c>
      <c r="B214" s="2" t="s">
        <v>555</v>
      </c>
      <c r="C214" s="2" t="s">
        <v>251</v>
      </c>
      <c r="D214" s="2" t="s">
        <v>1120</v>
      </c>
      <c r="E214" s="2" t="s">
        <v>1118</v>
      </c>
      <c r="F214" s="2"/>
      <c r="G214" s="2">
        <f t="shared" si="21"/>
        <v>0</v>
      </c>
      <c r="H214" s="2">
        <f t="shared" si="22"/>
        <v>0</v>
      </c>
      <c r="I214" s="2">
        <f t="shared" si="23"/>
        <v>1</v>
      </c>
      <c r="J214" s="2">
        <f t="shared" si="24"/>
        <v>0</v>
      </c>
      <c r="K214" s="2">
        <f t="shared" si="25"/>
        <v>0</v>
      </c>
      <c r="L214" s="2">
        <f t="shared" si="26"/>
        <v>0</v>
      </c>
      <c r="M214" s="2">
        <f t="shared" si="27"/>
        <v>0</v>
      </c>
    </row>
    <row r="215" spans="1:13" x14ac:dyDescent="0.3">
      <c r="A215" s="2" t="s">
        <v>844</v>
      </c>
      <c r="B215" s="2" t="s">
        <v>534</v>
      </c>
      <c r="C215" s="2" t="s">
        <v>262</v>
      </c>
      <c r="D215" s="2" t="s">
        <v>1121</v>
      </c>
      <c r="E215" s="2" t="s">
        <v>1117</v>
      </c>
      <c r="F215" s="2"/>
      <c r="G215" s="2">
        <f t="shared" si="21"/>
        <v>0</v>
      </c>
      <c r="H215" s="2">
        <f t="shared" si="22"/>
        <v>0</v>
      </c>
      <c r="I215" s="2">
        <f t="shared" si="23"/>
        <v>0</v>
      </c>
      <c r="J215" s="2">
        <f t="shared" si="24"/>
        <v>0</v>
      </c>
      <c r="K215" s="2">
        <f t="shared" si="25"/>
        <v>0</v>
      </c>
      <c r="L215" s="2">
        <f t="shared" si="26"/>
        <v>0</v>
      </c>
      <c r="M215" s="2">
        <f t="shared" si="27"/>
        <v>1</v>
      </c>
    </row>
    <row r="216" spans="1:13" x14ac:dyDescent="0.3">
      <c r="A216" s="2" t="s">
        <v>820</v>
      </c>
      <c r="B216" s="2" t="s">
        <v>599</v>
      </c>
      <c r="C216" s="2" t="s">
        <v>243</v>
      </c>
      <c r="D216" s="2" t="s">
        <v>1121</v>
      </c>
      <c r="E216" s="2"/>
      <c r="F216" s="2"/>
      <c r="G216" s="2">
        <f t="shared" si="21"/>
        <v>0</v>
      </c>
      <c r="H216" s="2">
        <f t="shared" si="22"/>
        <v>0</v>
      </c>
      <c r="I216" s="2">
        <f t="shared" si="23"/>
        <v>0</v>
      </c>
      <c r="J216" s="2">
        <f t="shared" si="24"/>
        <v>0</v>
      </c>
      <c r="K216" s="2">
        <f t="shared" si="25"/>
        <v>0</v>
      </c>
      <c r="L216" s="2">
        <f t="shared" si="26"/>
        <v>1</v>
      </c>
      <c r="M216" s="2">
        <f t="shared" si="27"/>
        <v>0</v>
      </c>
    </row>
    <row r="217" spans="1:13" x14ac:dyDescent="0.3">
      <c r="A217" s="2" t="s">
        <v>213</v>
      </c>
      <c r="B217" s="2" t="s">
        <v>600</v>
      </c>
      <c r="C217" s="2" t="s">
        <v>255</v>
      </c>
      <c r="D217" s="2" t="s">
        <v>1117</v>
      </c>
      <c r="E217" s="2"/>
      <c r="F217" s="2"/>
      <c r="G217" s="2">
        <f t="shared" si="21"/>
        <v>1</v>
      </c>
      <c r="H217" s="2">
        <f t="shared" si="22"/>
        <v>0</v>
      </c>
      <c r="I217" s="2">
        <f t="shared" si="23"/>
        <v>0</v>
      </c>
      <c r="J217" s="2">
        <f t="shared" si="24"/>
        <v>0</v>
      </c>
      <c r="K217" s="2">
        <f t="shared" si="25"/>
        <v>0</v>
      </c>
      <c r="L217" s="2">
        <f t="shared" si="26"/>
        <v>0</v>
      </c>
      <c r="M217" s="2">
        <f t="shared" si="27"/>
        <v>0</v>
      </c>
    </row>
    <row r="218" spans="1:13" x14ac:dyDescent="0.3">
      <c r="A218" s="2" t="s">
        <v>804</v>
      </c>
      <c r="B218" s="2" t="s">
        <v>539</v>
      </c>
      <c r="C218" s="2" t="s">
        <v>251</v>
      </c>
      <c r="D218" s="2" t="s">
        <v>1121</v>
      </c>
      <c r="E218" s="2"/>
      <c r="F218" s="2"/>
      <c r="G218" s="2">
        <f t="shared" si="21"/>
        <v>0</v>
      </c>
      <c r="H218" s="2">
        <f t="shared" si="22"/>
        <v>0</v>
      </c>
      <c r="I218" s="2">
        <f t="shared" si="23"/>
        <v>1</v>
      </c>
      <c r="J218" s="2">
        <f t="shared" si="24"/>
        <v>0</v>
      </c>
      <c r="K218" s="2">
        <f t="shared" si="25"/>
        <v>0</v>
      </c>
      <c r="L218" s="2">
        <f t="shared" si="26"/>
        <v>0</v>
      </c>
      <c r="M218" s="2">
        <f t="shared" si="27"/>
        <v>0</v>
      </c>
    </row>
    <row r="219" spans="1:13" x14ac:dyDescent="0.3">
      <c r="A219" s="2" t="s">
        <v>718</v>
      </c>
      <c r="B219" s="2" t="s">
        <v>592</v>
      </c>
      <c r="C219" s="2" t="s">
        <v>262</v>
      </c>
      <c r="D219" s="2"/>
      <c r="E219" s="2"/>
      <c r="F219" s="2"/>
      <c r="G219" s="2">
        <f t="shared" si="21"/>
        <v>0</v>
      </c>
      <c r="H219" s="2">
        <f t="shared" si="22"/>
        <v>0</v>
      </c>
      <c r="I219" s="2">
        <f t="shared" si="23"/>
        <v>0</v>
      </c>
      <c r="J219" s="2">
        <f t="shared" si="24"/>
        <v>0</v>
      </c>
      <c r="K219" s="2">
        <f t="shared" si="25"/>
        <v>0</v>
      </c>
      <c r="L219" s="2">
        <f t="shared" si="26"/>
        <v>0</v>
      </c>
      <c r="M219" s="2">
        <f t="shared" si="27"/>
        <v>1</v>
      </c>
    </row>
    <row r="220" spans="1:13" x14ac:dyDescent="0.3">
      <c r="A220" s="2" t="s">
        <v>764</v>
      </c>
      <c r="B220" s="2" t="s">
        <v>561</v>
      </c>
      <c r="C220" s="2" t="s">
        <v>243</v>
      </c>
      <c r="D220" s="2" t="s">
        <v>1119</v>
      </c>
      <c r="E220" s="2" t="s">
        <v>1120</v>
      </c>
      <c r="F220" s="2" t="s">
        <v>1121</v>
      </c>
      <c r="G220" s="2">
        <f t="shared" si="21"/>
        <v>0</v>
      </c>
      <c r="H220" s="2">
        <f t="shared" si="22"/>
        <v>0</v>
      </c>
      <c r="I220" s="2">
        <f t="shared" si="23"/>
        <v>0</v>
      </c>
      <c r="J220" s="2">
        <f t="shared" si="24"/>
        <v>0</v>
      </c>
      <c r="K220" s="2">
        <f t="shared" si="25"/>
        <v>0</v>
      </c>
      <c r="L220" s="2">
        <f t="shared" si="26"/>
        <v>1</v>
      </c>
      <c r="M220" s="2">
        <f t="shared" si="27"/>
        <v>0</v>
      </c>
    </row>
    <row r="221" spans="1:13" x14ac:dyDescent="0.3">
      <c r="A221" s="2" t="s">
        <v>147</v>
      </c>
      <c r="B221" s="2" t="s">
        <v>601</v>
      </c>
      <c r="C221" s="2" t="s">
        <v>241</v>
      </c>
      <c r="D221" s="2"/>
      <c r="E221" s="2"/>
      <c r="F221" s="2"/>
      <c r="G221" s="2">
        <f t="shared" si="21"/>
        <v>0</v>
      </c>
      <c r="H221" s="2">
        <f t="shared" si="22"/>
        <v>0</v>
      </c>
      <c r="I221" s="2">
        <f t="shared" si="23"/>
        <v>0</v>
      </c>
      <c r="J221" s="2">
        <f t="shared" si="24"/>
        <v>1</v>
      </c>
      <c r="K221" s="2">
        <f t="shared" si="25"/>
        <v>0</v>
      </c>
      <c r="L221" s="2">
        <f t="shared" si="26"/>
        <v>0</v>
      </c>
      <c r="M221" s="2">
        <f t="shared" si="27"/>
        <v>0</v>
      </c>
    </row>
    <row r="222" spans="1:13" x14ac:dyDescent="0.3">
      <c r="A222" s="2" t="s">
        <v>197</v>
      </c>
      <c r="B222" s="2" t="s">
        <v>602</v>
      </c>
      <c r="C222" s="2" t="s">
        <v>262</v>
      </c>
      <c r="D222" s="2" t="s">
        <v>1118</v>
      </c>
      <c r="E222" s="2"/>
      <c r="F222" s="2"/>
      <c r="G222" s="2">
        <f t="shared" si="21"/>
        <v>0</v>
      </c>
      <c r="H222" s="2">
        <f t="shared" si="22"/>
        <v>0</v>
      </c>
      <c r="I222" s="2">
        <f t="shared" si="23"/>
        <v>0</v>
      </c>
      <c r="J222" s="2">
        <f t="shared" si="24"/>
        <v>0</v>
      </c>
      <c r="K222" s="2">
        <f t="shared" si="25"/>
        <v>0</v>
      </c>
      <c r="L222" s="2">
        <f t="shared" si="26"/>
        <v>0</v>
      </c>
      <c r="M222" s="2">
        <f t="shared" si="27"/>
        <v>1</v>
      </c>
    </row>
    <row r="223" spans="1:13" x14ac:dyDescent="0.3">
      <c r="A223" s="2" t="s">
        <v>145</v>
      </c>
      <c r="B223" s="2" t="s">
        <v>603</v>
      </c>
      <c r="C223" s="2" t="s">
        <v>243</v>
      </c>
      <c r="D223" s="2" t="s">
        <v>1118</v>
      </c>
      <c r="E223" s="2"/>
      <c r="F223" s="2"/>
      <c r="G223" s="2">
        <f t="shared" si="21"/>
        <v>0</v>
      </c>
      <c r="H223" s="2">
        <f t="shared" si="22"/>
        <v>0</v>
      </c>
      <c r="I223" s="2">
        <f t="shared" si="23"/>
        <v>0</v>
      </c>
      <c r="J223" s="2">
        <f t="shared" si="24"/>
        <v>0</v>
      </c>
      <c r="K223" s="2">
        <f t="shared" si="25"/>
        <v>0</v>
      </c>
      <c r="L223" s="2">
        <f t="shared" si="26"/>
        <v>1</v>
      </c>
      <c r="M223" s="2">
        <f t="shared" si="27"/>
        <v>0</v>
      </c>
    </row>
    <row r="224" spans="1:13" x14ac:dyDescent="0.3">
      <c r="A224" s="2" t="s">
        <v>890</v>
      </c>
      <c r="B224" s="2" t="s">
        <v>604</v>
      </c>
      <c r="C224" s="2" t="s">
        <v>262</v>
      </c>
      <c r="D224" s="2" t="s">
        <v>1121</v>
      </c>
      <c r="E224" s="2" t="s">
        <v>1115</v>
      </c>
      <c r="F224" s="2" t="s">
        <v>1118</v>
      </c>
      <c r="G224" s="2">
        <f t="shared" si="21"/>
        <v>0</v>
      </c>
      <c r="H224" s="2">
        <f t="shared" si="22"/>
        <v>1</v>
      </c>
      <c r="I224" s="2">
        <f t="shared" si="23"/>
        <v>0</v>
      </c>
      <c r="J224" s="2">
        <f t="shared" si="24"/>
        <v>0</v>
      </c>
      <c r="K224" s="2">
        <f t="shared" si="25"/>
        <v>0</v>
      </c>
      <c r="L224" s="2">
        <f t="shared" si="26"/>
        <v>0</v>
      </c>
      <c r="M224" s="2">
        <f t="shared" si="27"/>
        <v>1</v>
      </c>
    </row>
    <row r="225" spans="1:13" x14ac:dyDescent="0.3">
      <c r="A225" s="2" t="s">
        <v>908</v>
      </c>
      <c r="B225" s="2" t="s">
        <v>603</v>
      </c>
      <c r="C225" s="2" t="s">
        <v>262</v>
      </c>
      <c r="D225" s="2" t="s">
        <v>1116</v>
      </c>
      <c r="E225" s="2"/>
      <c r="F225" s="2"/>
      <c r="G225" s="2">
        <f t="shared" si="21"/>
        <v>0</v>
      </c>
      <c r="H225" s="2">
        <f t="shared" si="22"/>
        <v>0</v>
      </c>
      <c r="I225" s="2">
        <f t="shared" si="23"/>
        <v>0</v>
      </c>
      <c r="J225" s="2">
        <f t="shared" si="24"/>
        <v>0</v>
      </c>
      <c r="K225" s="2">
        <f t="shared" si="25"/>
        <v>1</v>
      </c>
      <c r="L225" s="2">
        <f t="shared" si="26"/>
        <v>0</v>
      </c>
      <c r="M225" s="2">
        <f t="shared" si="27"/>
        <v>1</v>
      </c>
    </row>
    <row r="226" spans="1:13" x14ac:dyDescent="0.3">
      <c r="A226" s="2" t="s">
        <v>681</v>
      </c>
      <c r="B226" s="2" t="s">
        <v>605</v>
      </c>
      <c r="C226" s="2" t="s">
        <v>262</v>
      </c>
      <c r="D226" s="2" t="s">
        <v>1121</v>
      </c>
      <c r="E226" s="2" t="s">
        <v>1118</v>
      </c>
      <c r="F226" s="2"/>
      <c r="G226" s="2">
        <f t="shared" si="21"/>
        <v>0</v>
      </c>
      <c r="H226" s="2">
        <f t="shared" si="22"/>
        <v>0</v>
      </c>
      <c r="I226" s="2">
        <f t="shared" si="23"/>
        <v>0</v>
      </c>
      <c r="J226" s="2">
        <f t="shared" si="24"/>
        <v>0</v>
      </c>
      <c r="K226" s="2">
        <f t="shared" si="25"/>
        <v>0</v>
      </c>
      <c r="L226" s="2">
        <f t="shared" si="26"/>
        <v>0</v>
      </c>
      <c r="M226" s="2">
        <f t="shared" si="27"/>
        <v>1</v>
      </c>
    </row>
    <row r="227" spans="1:13" x14ac:dyDescent="0.3">
      <c r="A227" s="2" t="s">
        <v>661</v>
      </c>
      <c r="B227" s="2" t="s">
        <v>541</v>
      </c>
      <c r="C227" s="2" t="s">
        <v>255</v>
      </c>
      <c r="D227" s="2" t="s">
        <v>1115</v>
      </c>
      <c r="E227" s="2"/>
      <c r="F227" s="2"/>
      <c r="G227" s="2">
        <f t="shared" si="21"/>
        <v>1</v>
      </c>
      <c r="H227" s="2">
        <f t="shared" si="22"/>
        <v>1</v>
      </c>
      <c r="I227" s="2">
        <f t="shared" si="23"/>
        <v>0</v>
      </c>
      <c r="J227" s="2">
        <f t="shared" si="24"/>
        <v>0</v>
      </c>
      <c r="K227" s="2">
        <f t="shared" si="25"/>
        <v>0</v>
      </c>
      <c r="L227" s="2">
        <f t="shared" si="26"/>
        <v>0</v>
      </c>
      <c r="M227" s="2">
        <f t="shared" si="27"/>
        <v>0</v>
      </c>
    </row>
    <row r="228" spans="1:13" x14ac:dyDescent="0.3">
      <c r="A228" s="2" t="s">
        <v>889</v>
      </c>
      <c r="B228" s="2" t="s">
        <v>606</v>
      </c>
      <c r="C228" s="2" t="s">
        <v>241</v>
      </c>
      <c r="D228" s="2" t="s">
        <v>1115</v>
      </c>
      <c r="E228" s="2"/>
      <c r="F228" s="2"/>
      <c r="G228" s="2">
        <f t="shared" si="21"/>
        <v>0</v>
      </c>
      <c r="H228" s="2">
        <f t="shared" si="22"/>
        <v>1</v>
      </c>
      <c r="I228" s="2">
        <f t="shared" si="23"/>
        <v>0</v>
      </c>
      <c r="J228" s="2">
        <f t="shared" si="24"/>
        <v>1</v>
      </c>
      <c r="K228" s="2">
        <f t="shared" si="25"/>
        <v>0</v>
      </c>
      <c r="L228" s="2">
        <f t="shared" si="26"/>
        <v>0</v>
      </c>
      <c r="M228" s="2">
        <f t="shared" si="27"/>
        <v>0</v>
      </c>
    </row>
    <row r="229" spans="1:13" x14ac:dyDescent="0.3">
      <c r="A229" s="2" t="s">
        <v>857</v>
      </c>
      <c r="B229" s="2" t="s">
        <v>559</v>
      </c>
      <c r="C229" s="2" t="s">
        <v>255</v>
      </c>
      <c r="D229" s="2" t="s">
        <v>1116</v>
      </c>
      <c r="E229" s="2"/>
      <c r="F229" s="2"/>
      <c r="G229" s="2">
        <f t="shared" si="21"/>
        <v>1</v>
      </c>
      <c r="H229" s="2">
        <f t="shared" si="22"/>
        <v>0</v>
      </c>
      <c r="I229" s="2">
        <f t="shared" si="23"/>
        <v>0</v>
      </c>
      <c r="J229" s="2">
        <f t="shared" si="24"/>
        <v>0</v>
      </c>
      <c r="K229" s="2">
        <f t="shared" si="25"/>
        <v>1</v>
      </c>
      <c r="L229" s="2">
        <f t="shared" si="26"/>
        <v>0</v>
      </c>
      <c r="M229" s="2">
        <f t="shared" si="27"/>
        <v>0</v>
      </c>
    </row>
    <row r="230" spans="1:13" x14ac:dyDescent="0.3">
      <c r="A230" s="2" t="s">
        <v>732</v>
      </c>
      <c r="B230" s="2" t="s">
        <v>607</v>
      </c>
      <c r="C230" s="2" t="s">
        <v>262</v>
      </c>
      <c r="D230" s="2" t="s">
        <v>1116</v>
      </c>
      <c r="E230" s="2" t="s">
        <v>1115</v>
      </c>
      <c r="F230" s="2" t="s">
        <v>1119</v>
      </c>
      <c r="G230" s="2">
        <f t="shared" si="21"/>
        <v>0</v>
      </c>
      <c r="H230" s="2">
        <f t="shared" si="22"/>
        <v>1</v>
      </c>
      <c r="I230" s="2">
        <f t="shared" si="23"/>
        <v>0</v>
      </c>
      <c r="J230" s="2">
        <f t="shared" si="24"/>
        <v>0</v>
      </c>
      <c r="K230" s="2">
        <f t="shared" si="25"/>
        <v>1</v>
      </c>
      <c r="L230" s="2">
        <f t="shared" si="26"/>
        <v>0</v>
      </c>
      <c r="M230" s="2">
        <f t="shared" si="27"/>
        <v>1</v>
      </c>
    </row>
    <row r="231" spans="1:13" x14ac:dyDescent="0.3">
      <c r="A231" s="2" t="s">
        <v>927</v>
      </c>
      <c r="B231" s="2" t="s">
        <v>608</v>
      </c>
      <c r="C231" s="2" t="s">
        <v>275</v>
      </c>
      <c r="D231" s="2" t="s">
        <v>1119</v>
      </c>
      <c r="E231" s="2"/>
      <c r="F231" s="2"/>
      <c r="G231" s="2">
        <f t="shared" si="21"/>
        <v>0</v>
      </c>
      <c r="H231" s="2">
        <f t="shared" si="22"/>
        <v>0</v>
      </c>
      <c r="I231" s="2">
        <f t="shared" si="23"/>
        <v>0</v>
      </c>
      <c r="J231" s="2">
        <f t="shared" si="24"/>
        <v>0</v>
      </c>
      <c r="K231" s="2">
        <f t="shared" si="25"/>
        <v>0</v>
      </c>
      <c r="L231" s="2">
        <f t="shared" si="26"/>
        <v>0</v>
      </c>
      <c r="M231" s="2">
        <f t="shared" si="27"/>
        <v>0</v>
      </c>
    </row>
    <row r="232" spans="1:13" x14ac:dyDescent="0.3">
      <c r="A232" s="2" t="s">
        <v>827</v>
      </c>
      <c r="B232" s="2" t="s">
        <v>559</v>
      </c>
      <c r="C232" s="2" t="s">
        <v>262</v>
      </c>
      <c r="D232" s="2"/>
      <c r="E232" s="2"/>
      <c r="F232" s="2"/>
      <c r="G232" s="2">
        <f t="shared" si="21"/>
        <v>0</v>
      </c>
      <c r="H232" s="2">
        <f t="shared" si="22"/>
        <v>0</v>
      </c>
      <c r="I232" s="2">
        <f t="shared" si="23"/>
        <v>0</v>
      </c>
      <c r="J232" s="2">
        <f t="shared" si="24"/>
        <v>0</v>
      </c>
      <c r="K232" s="2">
        <f t="shared" si="25"/>
        <v>0</v>
      </c>
      <c r="L232" s="2">
        <f t="shared" si="26"/>
        <v>0</v>
      </c>
      <c r="M232" s="2">
        <f t="shared" si="27"/>
        <v>1</v>
      </c>
    </row>
    <row r="233" spans="1:13" x14ac:dyDescent="0.3">
      <c r="A233" s="2" t="s">
        <v>860</v>
      </c>
      <c r="B233" s="2" t="s">
        <v>609</v>
      </c>
      <c r="C233" s="2" t="s">
        <v>251</v>
      </c>
      <c r="D233" s="2" t="s">
        <v>1115</v>
      </c>
      <c r="E233" s="2" t="s">
        <v>1116</v>
      </c>
      <c r="F233" s="2" t="s">
        <v>1121</v>
      </c>
      <c r="G233" s="2">
        <f t="shared" si="21"/>
        <v>0</v>
      </c>
      <c r="H233" s="2">
        <f t="shared" si="22"/>
        <v>1</v>
      </c>
      <c r="I233" s="2">
        <f t="shared" si="23"/>
        <v>1</v>
      </c>
      <c r="J233" s="2">
        <f t="shared" si="24"/>
        <v>0</v>
      </c>
      <c r="K233" s="2">
        <f t="shared" si="25"/>
        <v>1</v>
      </c>
      <c r="L233" s="2">
        <f t="shared" si="26"/>
        <v>0</v>
      </c>
      <c r="M233" s="2">
        <f t="shared" si="27"/>
        <v>0</v>
      </c>
    </row>
    <row r="234" spans="1:13" x14ac:dyDescent="0.3">
      <c r="A234" s="2" t="s">
        <v>787</v>
      </c>
      <c r="B234" s="2" t="s">
        <v>528</v>
      </c>
      <c r="C234" s="2" t="s">
        <v>243</v>
      </c>
      <c r="D234" s="2" t="s">
        <v>1119</v>
      </c>
      <c r="E234" s="2"/>
      <c r="F234" s="2"/>
      <c r="G234" s="2">
        <f t="shared" si="21"/>
        <v>0</v>
      </c>
      <c r="H234" s="2">
        <f t="shared" si="22"/>
        <v>0</v>
      </c>
      <c r="I234" s="2">
        <f t="shared" si="23"/>
        <v>0</v>
      </c>
      <c r="J234" s="2">
        <f t="shared" si="24"/>
        <v>0</v>
      </c>
      <c r="K234" s="2">
        <f t="shared" si="25"/>
        <v>0</v>
      </c>
      <c r="L234" s="2">
        <f t="shared" si="26"/>
        <v>1</v>
      </c>
      <c r="M234" s="2">
        <f t="shared" si="27"/>
        <v>0</v>
      </c>
    </row>
    <row r="235" spans="1:13" x14ac:dyDescent="0.3">
      <c r="A235" s="2" t="s">
        <v>754</v>
      </c>
      <c r="B235" s="2" t="s">
        <v>606</v>
      </c>
      <c r="C235" s="2" t="s">
        <v>243</v>
      </c>
      <c r="D235" s="2" t="s">
        <v>1119</v>
      </c>
      <c r="E235" s="2" t="s">
        <v>1116</v>
      </c>
      <c r="F235" s="2" t="s">
        <v>1115</v>
      </c>
      <c r="G235" s="2">
        <f t="shared" si="21"/>
        <v>0</v>
      </c>
      <c r="H235" s="2">
        <f t="shared" si="22"/>
        <v>1</v>
      </c>
      <c r="I235" s="2">
        <f t="shared" si="23"/>
        <v>0</v>
      </c>
      <c r="J235" s="2">
        <f t="shared" si="24"/>
        <v>0</v>
      </c>
      <c r="K235" s="2">
        <f t="shared" si="25"/>
        <v>1</v>
      </c>
      <c r="L235" s="2">
        <f t="shared" si="26"/>
        <v>1</v>
      </c>
      <c r="M235" s="2">
        <f t="shared" si="27"/>
        <v>0</v>
      </c>
    </row>
    <row r="236" spans="1:13" x14ac:dyDescent="0.3">
      <c r="A236" s="2" t="s">
        <v>136</v>
      </c>
      <c r="B236" s="2" t="s">
        <v>610</v>
      </c>
      <c r="C236" s="2" t="s">
        <v>251</v>
      </c>
      <c r="D236" s="2" t="s">
        <v>1115</v>
      </c>
      <c r="E236" s="2" t="s">
        <v>1120</v>
      </c>
      <c r="F236" s="2" t="s">
        <v>1118</v>
      </c>
      <c r="G236" s="2">
        <f t="shared" si="21"/>
        <v>0</v>
      </c>
      <c r="H236" s="2">
        <f t="shared" si="22"/>
        <v>1</v>
      </c>
      <c r="I236" s="2">
        <f t="shared" si="23"/>
        <v>1</v>
      </c>
      <c r="J236" s="2">
        <f t="shared" si="24"/>
        <v>0</v>
      </c>
      <c r="K236" s="2">
        <f t="shared" si="25"/>
        <v>0</v>
      </c>
      <c r="L236" s="2">
        <f t="shared" si="26"/>
        <v>0</v>
      </c>
      <c r="M236" s="2">
        <f t="shared" si="27"/>
        <v>0</v>
      </c>
    </row>
    <row r="237" spans="1:13" x14ac:dyDescent="0.3">
      <c r="A237" s="2" t="s">
        <v>709</v>
      </c>
      <c r="B237" s="2" t="s">
        <v>607</v>
      </c>
      <c r="C237" s="2" t="s">
        <v>275</v>
      </c>
      <c r="D237" s="2" t="s">
        <v>1115</v>
      </c>
      <c r="E237" s="2"/>
      <c r="F237" s="2"/>
      <c r="G237" s="2">
        <f t="shared" si="21"/>
        <v>0</v>
      </c>
      <c r="H237" s="2">
        <f t="shared" si="22"/>
        <v>1</v>
      </c>
      <c r="I237" s="2">
        <f t="shared" si="23"/>
        <v>0</v>
      </c>
      <c r="J237" s="2">
        <f t="shared" si="24"/>
        <v>0</v>
      </c>
      <c r="K237" s="2">
        <f t="shared" si="25"/>
        <v>0</v>
      </c>
      <c r="L237" s="2">
        <f t="shared" si="26"/>
        <v>0</v>
      </c>
      <c r="M237" s="2">
        <f t="shared" si="27"/>
        <v>0</v>
      </c>
    </row>
    <row r="238" spans="1:13" x14ac:dyDescent="0.3">
      <c r="A238" s="2" t="s">
        <v>772</v>
      </c>
      <c r="B238" s="2" t="s">
        <v>611</v>
      </c>
      <c r="C238" s="2" t="s">
        <v>275</v>
      </c>
      <c r="D238" s="2" t="s">
        <v>1117</v>
      </c>
      <c r="E238" s="2" t="s">
        <v>1118</v>
      </c>
      <c r="F238" s="2" t="s">
        <v>1120</v>
      </c>
      <c r="G238" s="2">
        <f t="shared" si="21"/>
        <v>0</v>
      </c>
      <c r="H238" s="2">
        <f t="shared" si="22"/>
        <v>0</v>
      </c>
      <c r="I238" s="2">
        <f t="shared" si="23"/>
        <v>0</v>
      </c>
      <c r="J238" s="2">
        <f t="shared" si="24"/>
        <v>0</v>
      </c>
      <c r="K238" s="2">
        <f t="shared" si="25"/>
        <v>0</v>
      </c>
      <c r="L238" s="2">
        <f t="shared" si="26"/>
        <v>0</v>
      </c>
      <c r="M238" s="2">
        <f t="shared" si="27"/>
        <v>0</v>
      </c>
    </row>
    <row r="239" spans="1:13" x14ac:dyDescent="0.3">
      <c r="A239" s="2" t="s">
        <v>191</v>
      </c>
      <c r="B239" s="2" t="s">
        <v>612</v>
      </c>
      <c r="C239" s="2" t="s">
        <v>243</v>
      </c>
      <c r="D239" s="2" t="s">
        <v>1119</v>
      </c>
      <c r="E239" s="2" t="s">
        <v>1118</v>
      </c>
      <c r="F239" s="2" t="s">
        <v>1121</v>
      </c>
      <c r="G239" s="2">
        <f t="shared" si="21"/>
        <v>0</v>
      </c>
      <c r="H239" s="2">
        <f t="shared" si="22"/>
        <v>0</v>
      </c>
      <c r="I239" s="2">
        <f t="shared" si="23"/>
        <v>0</v>
      </c>
      <c r="J239" s="2">
        <f t="shared" si="24"/>
        <v>0</v>
      </c>
      <c r="K239" s="2">
        <f t="shared" si="25"/>
        <v>0</v>
      </c>
      <c r="L239" s="2">
        <f t="shared" si="26"/>
        <v>1</v>
      </c>
      <c r="M239" s="2">
        <f t="shared" si="27"/>
        <v>0</v>
      </c>
    </row>
    <row r="240" spans="1:13" x14ac:dyDescent="0.3">
      <c r="A240" s="2" t="s">
        <v>841</v>
      </c>
      <c r="B240" s="2" t="s">
        <v>578</v>
      </c>
      <c r="C240" s="2" t="s">
        <v>262</v>
      </c>
      <c r="D240" s="2"/>
      <c r="E240" s="2"/>
      <c r="F240" s="2"/>
      <c r="G240" s="2">
        <f t="shared" si="21"/>
        <v>0</v>
      </c>
      <c r="H240" s="2">
        <f t="shared" si="22"/>
        <v>0</v>
      </c>
      <c r="I240" s="2">
        <f t="shared" si="23"/>
        <v>0</v>
      </c>
      <c r="J240" s="2">
        <f t="shared" si="24"/>
        <v>0</v>
      </c>
      <c r="K240" s="2">
        <f t="shared" si="25"/>
        <v>0</v>
      </c>
      <c r="L240" s="2">
        <f t="shared" si="26"/>
        <v>0</v>
      </c>
      <c r="M240" s="2">
        <f t="shared" si="27"/>
        <v>1</v>
      </c>
    </row>
    <row r="241" spans="1:13" x14ac:dyDescent="0.3">
      <c r="A241" s="2" t="s">
        <v>811</v>
      </c>
      <c r="B241" s="2" t="s">
        <v>613</v>
      </c>
      <c r="C241" s="2" t="s">
        <v>241</v>
      </c>
      <c r="D241" s="2" t="s">
        <v>1116</v>
      </c>
      <c r="E241" s="2" t="s">
        <v>1117</v>
      </c>
      <c r="F241" s="2"/>
      <c r="G241" s="2">
        <f t="shared" si="21"/>
        <v>0</v>
      </c>
      <c r="H241" s="2">
        <f t="shared" si="22"/>
        <v>0</v>
      </c>
      <c r="I241" s="2">
        <f t="shared" si="23"/>
        <v>0</v>
      </c>
      <c r="J241" s="2">
        <f t="shared" si="24"/>
        <v>1</v>
      </c>
      <c r="K241" s="2">
        <f t="shared" si="25"/>
        <v>1</v>
      </c>
      <c r="L241" s="2">
        <f t="shared" si="26"/>
        <v>0</v>
      </c>
      <c r="M241" s="2">
        <f t="shared" si="27"/>
        <v>0</v>
      </c>
    </row>
    <row r="242" spans="1:13" x14ac:dyDescent="0.3">
      <c r="A242" s="2" t="s">
        <v>925</v>
      </c>
      <c r="B242" s="2" t="s">
        <v>576</v>
      </c>
      <c r="C242" s="2" t="s">
        <v>255</v>
      </c>
      <c r="D242" s="2" t="s">
        <v>1120</v>
      </c>
      <c r="E242" s="2" t="s">
        <v>1118</v>
      </c>
      <c r="F242" s="2" t="s">
        <v>1116</v>
      </c>
      <c r="G242" s="2">
        <f t="shared" si="21"/>
        <v>1</v>
      </c>
      <c r="H242" s="2">
        <f t="shared" si="22"/>
        <v>0</v>
      </c>
      <c r="I242" s="2">
        <f t="shared" si="23"/>
        <v>0</v>
      </c>
      <c r="J242" s="2">
        <f t="shared" si="24"/>
        <v>0</v>
      </c>
      <c r="K242" s="2">
        <f t="shared" si="25"/>
        <v>1</v>
      </c>
      <c r="L242" s="2">
        <f t="shared" si="26"/>
        <v>0</v>
      </c>
      <c r="M242" s="2">
        <f t="shared" si="27"/>
        <v>0</v>
      </c>
    </row>
    <row r="243" spans="1:13" x14ac:dyDescent="0.3">
      <c r="A243" s="2" t="s">
        <v>713</v>
      </c>
      <c r="B243" s="2" t="s">
        <v>614</v>
      </c>
      <c r="C243" s="2" t="s">
        <v>241</v>
      </c>
      <c r="D243" s="2" t="s">
        <v>1120</v>
      </c>
      <c r="E243" s="2" t="s">
        <v>1119</v>
      </c>
      <c r="F243" s="2" t="s">
        <v>1115</v>
      </c>
      <c r="G243" s="2">
        <f t="shared" si="21"/>
        <v>0</v>
      </c>
      <c r="H243" s="2">
        <f t="shared" si="22"/>
        <v>1</v>
      </c>
      <c r="I243" s="2">
        <f t="shared" si="23"/>
        <v>0</v>
      </c>
      <c r="J243" s="2">
        <f t="shared" si="24"/>
        <v>1</v>
      </c>
      <c r="K243" s="2">
        <f t="shared" si="25"/>
        <v>0</v>
      </c>
      <c r="L243" s="2">
        <f t="shared" si="26"/>
        <v>0</v>
      </c>
      <c r="M243" s="2">
        <f t="shared" si="27"/>
        <v>0</v>
      </c>
    </row>
    <row r="244" spans="1:13" x14ac:dyDescent="0.3">
      <c r="A244" s="2" t="s">
        <v>201</v>
      </c>
      <c r="B244" s="2" t="s">
        <v>591</v>
      </c>
      <c r="C244" s="2" t="s">
        <v>241</v>
      </c>
      <c r="D244" s="2" t="s">
        <v>1115</v>
      </c>
      <c r="E244" s="2" t="s">
        <v>1119</v>
      </c>
      <c r="F244" s="2"/>
      <c r="G244" s="2">
        <f t="shared" si="21"/>
        <v>0</v>
      </c>
      <c r="H244" s="2">
        <f t="shared" si="22"/>
        <v>1</v>
      </c>
      <c r="I244" s="2">
        <f t="shared" si="23"/>
        <v>0</v>
      </c>
      <c r="J244" s="2">
        <f t="shared" si="24"/>
        <v>1</v>
      </c>
      <c r="K244" s="2">
        <f t="shared" si="25"/>
        <v>0</v>
      </c>
      <c r="L244" s="2">
        <f t="shared" si="26"/>
        <v>0</v>
      </c>
      <c r="M244" s="2">
        <f t="shared" si="27"/>
        <v>0</v>
      </c>
    </row>
    <row r="245" spans="1:13" x14ac:dyDescent="0.3">
      <c r="A245" s="2" t="s">
        <v>132</v>
      </c>
      <c r="B245" s="2" t="s">
        <v>588</v>
      </c>
      <c r="C245" s="2" t="s">
        <v>249</v>
      </c>
      <c r="D245" s="2"/>
      <c r="E245" s="2"/>
      <c r="F245" s="2"/>
      <c r="G245" s="2">
        <f t="shared" si="21"/>
        <v>0</v>
      </c>
      <c r="H245" s="2">
        <f t="shared" si="22"/>
        <v>0</v>
      </c>
      <c r="I245" s="2">
        <f t="shared" si="23"/>
        <v>0</v>
      </c>
      <c r="J245" s="2">
        <f t="shared" si="24"/>
        <v>0</v>
      </c>
      <c r="K245" s="2">
        <f t="shared" si="25"/>
        <v>0</v>
      </c>
      <c r="L245" s="2">
        <f t="shared" si="26"/>
        <v>0</v>
      </c>
      <c r="M245" s="2">
        <f t="shared" si="27"/>
        <v>0</v>
      </c>
    </row>
    <row r="246" spans="1:13" x14ac:dyDescent="0.3">
      <c r="A246" s="2" t="s">
        <v>705</v>
      </c>
      <c r="B246" s="2" t="s">
        <v>565</v>
      </c>
      <c r="C246" s="2" t="s">
        <v>241</v>
      </c>
      <c r="D246" s="2" t="s">
        <v>1117</v>
      </c>
      <c r="E246" s="2" t="s">
        <v>1115</v>
      </c>
      <c r="F246" s="2" t="s">
        <v>1120</v>
      </c>
      <c r="G246" s="2">
        <f t="shared" si="21"/>
        <v>0</v>
      </c>
      <c r="H246" s="2">
        <f t="shared" si="22"/>
        <v>1</v>
      </c>
      <c r="I246" s="2">
        <f t="shared" si="23"/>
        <v>0</v>
      </c>
      <c r="J246" s="2">
        <f t="shared" si="24"/>
        <v>1</v>
      </c>
      <c r="K246" s="2">
        <f t="shared" si="25"/>
        <v>0</v>
      </c>
      <c r="L246" s="2">
        <f t="shared" si="26"/>
        <v>0</v>
      </c>
      <c r="M246" s="2">
        <f t="shared" si="27"/>
        <v>0</v>
      </c>
    </row>
    <row r="247" spans="1:13" x14ac:dyDescent="0.3">
      <c r="A247" s="2" t="s">
        <v>885</v>
      </c>
      <c r="B247" s="2" t="s">
        <v>556</v>
      </c>
      <c r="C247" s="2" t="s">
        <v>251</v>
      </c>
      <c r="D247" s="2" t="s">
        <v>1121</v>
      </c>
      <c r="E247" s="2"/>
      <c r="F247" s="2"/>
      <c r="G247" s="2">
        <f t="shared" si="21"/>
        <v>0</v>
      </c>
      <c r="H247" s="2">
        <f t="shared" si="22"/>
        <v>0</v>
      </c>
      <c r="I247" s="2">
        <f t="shared" si="23"/>
        <v>1</v>
      </c>
      <c r="J247" s="2">
        <f t="shared" si="24"/>
        <v>0</v>
      </c>
      <c r="K247" s="2">
        <f t="shared" si="25"/>
        <v>0</v>
      </c>
      <c r="L247" s="2">
        <f t="shared" si="26"/>
        <v>0</v>
      </c>
      <c r="M247" s="2">
        <f t="shared" si="27"/>
        <v>0</v>
      </c>
    </row>
    <row r="248" spans="1:13" x14ac:dyDescent="0.3">
      <c r="A248" s="2" t="s">
        <v>229</v>
      </c>
      <c r="B248" s="2" t="s">
        <v>615</v>
      </c>
      <c r="C248" s="2" t="s">
        <v>262</v>
      </c>
      <c r="D248" s="2" t="s">
        <v>1115</v>
      </c>
      <c r="E248" s="2"/>
      <c r="F248" s="2"/>
      <c r="G248" s="2">
        <f t="shared" si="21"/>
        <v>0</v>
      </c>
      <c r="H248" s="2">
        <f t="shared" si="22"/>
        <v>1</v>
      </c>
      <c r="I248" s="2">
        <f t="shared" si="23"/>
        <v>0</v>
      </c>
      <c r="J248" s="2">
        <f t="shared" si="24"/>
        <v>0</v>
      </c>
      <c r="K248" s="2">
        <f t="shared" si="25"/>
        <v>0</v>
      </c>
      <c r="L248" s="2">
        <f t="shared" si="26"/>
        <v>0</v>
      </c>
      <c r="M248" s="2">
        <f t="shared" si="27"/>
        <v>1</v>
      </c>
    </row>
    <row r="249" spans="1:13" x14ac:dyDescent="0.3">
      <c r="A249" s="2" t="s">
        <v>856</v>
      </c>
      <c r="B249" s="2" t="s">
        <v>616</v>
      </c>
      <c r="C249" s="2" t="s">
        <v>243</v>
      </c>
      <c r="D249" s="2" t="s">
        <v>1119</v>
      </c>
      <c r="E249" s="2" t="s">
        <v>1118</v>
      </c>
      <c r="F249" s="2" t="s">
        <v>1120</v>
      </c>
      <c r="G249" s="2">
        <f t="shared" si="21"/>
        <v>0</v>
      </c>
      <c r="H249" s="2">
        <f t="shared" si="22"/>
        <v>0</v>
      </c>
      <c r="I249" s="2">
        <f t="shared" si="23"/>
        <v>0</v>
      </c>
      <c r="J249" s="2">
        <f t="shared" si="24"/>
        <v>0</v>
      </c>
      <c r="K249" s="2">
        <f t="shared" si="25"/>
        <v>0</v>
      </c>
      <c r="L249" s="2">
        <f t="shared" si="26"/>
        <v>1</v>
      </c>
      <c r="M249" s="2">
        <f t="shared" si="27"/>
        <v>0</v>
      </c>
    </row>
    <row r="250" spans="1:13" x14ac:dyDescent="0.3">
      <c r="A250" s="2" t="s">
        <v>767</v>
      </c>
      <c r="B250" s="2" t="s">
        <v>617</v>
      </c>
      <c r="C250" s="2" t="s">
        <v>275</v>
      </c>
      <c r="D250" s="2" t="s">
        <v>1119</v>
      </c>
      <c r="E250" s="2" t="s">
        <v>1117</v>
      </c>
      <c r="F250" s="2"/>
      <c r="G250" s="2">
        <f t="shared" si="21"/>
        <v>0</v>
      </c>
      <c r="H250" s="2">
        <f t="shared" si="22"/>
        <v>0</v>
      </c>
      <c r="I250" s="2">
        <f t="shared" si="23"/>
        <v>0</v>
      </c>
      <c r="J250" s="2">
        <f t="shared" si="24"/>
        <v>0</v>
      </c>
      <c r="K250" s="2">
        <f t="shared" si="25"/>
        <v>0</v>
      </c>
      <c r="L250" s="2">
        <f t="shared" si="26"/>
        <v>0</v>
      </c>
      <c r="M250" s="2">
        <f t="shared" si="27"/>
        <v>0</v>
      </c>
    </row>
    <row r="251" spans="1:13" x14ac:dyDescent="0.3">
      <c r="A251" s="2" t="s">
        <v>798</v>
      </c>
      <c r="B251" s="2" t="s">
        <v>590</v>
      </c>
      <c r="C251" s="2" t="s">
        <v>255</v>
      </c>
      <c r="D251" s="2"/>
      <c r="E251" s="2"/>
      <c r="F251" s="2"/>
      <c r="G251" s="2">
        <f t="shared" si="21"/>
        <v>1</v>
      </c>
      <c r="H251" s="2">
        <f t="shared" si="22"/>
        <v>0</v>
      </c>
      <c r="I251" s="2">
        <f t="shared" si="23"/>
        <v>0</v>
      </c>
      <c r="J251" s="2">
        <f t="shared" si="24"/>
        <v>0</v>
      </c>
      <c r="K251" s="2">
        <f t="shared" si="25"/>
        <v>0</v>
      </c>
      <c r="L251" s="2">
        <f t="shared" si="26"/>
        <v>0</v>
      </c>
      <c r="M251" s="2">
        <f t="shared" si="27"/>
        <v>0</v>
      </c>
    </row>
    <row r="252" spans="1:13" x14ac:dyDescent="0.3">
      <c r="A252" s="2" t="s">
        <v>790</v>
      </c>
      <c r="B252" s="2" t="s">
        <v>618</v>
      </c>
      <c r="C252" s="2" t="s">
        <v>249</v>
      </c>
      <c r="D252" s="2"/>
      <c r="E252" s="2"/>
      <c r="F252" s="2"/>
      <c r="G252" s="2">
        <f t="shared" si="21"/>
        <v>0</v>
      </c>
      <c r="H252" s="2">
        <f t="shared" si="22"/>
        <v>0</v>
      </c>
      <c r="I252" s="2">
        <f t="shared" si="23"/>
        <v>0</v>
      </c>
      <c r="J252" s="2">
        <f t="shared" si="24"/>
        <v>0</v>
      </c>
      <c r="K252" s="2">
        <f t="shared" si="25"/>
        <v>0</v>
      </c>
      <c r="L252" s="2">
        <f t="shared" si="26"/>
        <v>0</v>
      </c>
      <c r="M252" s="2">
        <f t="shared" si="27"/>
        <v>0</v>
      </c>
    </row>
    <row r="253" spans="1:13" x14ac:dyDescent="0.3">
      <c r="A253" s="2" t="s">
        <v>858</v>
      </c>
      <c r="B253" s="2" t="s">
        <v>541</v>
      </c>
      <c r="C253" s="2" t="s">
        <v>249</v>
      </c>
      <c r="D253" s="2" t="s">
        <v>1121</v>
      </c>
      <c r="E253" s="2" t="s">
        <v>1116</v>
      </c>
      <c r="F253" s="2"/>
      <c r="G253" s="2">
        <f t="shared" si="21"/>
        <v>0</v>
      </c>
      <c r="H253" s="2">
        <f t="shared" si="22"/>
        <v>0</v>
      </c>
      <c r="I253" s="2">
        <f t="shared" si="23"/>
        <v>0</v>
      </c>
      <c r="J253" s="2">
        <f t="shared" si="24"/>
        <v>0</v>
      </c>
      <c r="K253" s="2">
        <f t="shared" si="25"/>
        <v>1</v>
      </c>
      <c r="L253" s="2">
        <f t="shared" si="26"/>
        <v>0</v>
      </c>
      <c r="M253" s="2">
        <f t="shared" si="27"/>
        <v>0</v>
      </c>
    </row>
    <row r="254" spans="1:13" x14ac:dyDescent="0.3">
      <c r="A254" s="2" t="s">
        <v>687</v>
      </c>
      <c r="B254" s="2" t="s">
        <v>619</v>
      </c>
      <c r="C254" s="2" t="s">
        <v>241</v>
      </c>
      <c r="D254" s="2" t="s">
        <v>1116</v>
      </c>
      <c r="E254" s="2" t="s">
        <v>1120</v>
      </c>
      <c r="F254" s="2" t="s">
        <v>1117</v>
      </c>
      <c r="G254" s="2">
        <f t="shared" si="21"/>
        <v>0</v>
      </c>
      <c r="H254" s="2">
        <f t="shared" si="22"/>
        <v>0</v>
      </c>
      <c r="I254" s="2">
        <f t="shared" si="23"/>
        <v>0</v>
      </c>
      <c r="J254" s="2">
        <f t="shared" si="24"/>
        <v>1</v>
      </c>
      <c r="K254" s="2">
        <f t="shared" si="25"/>
        <v>1</v>
      </c>
      <c r="L254" s="2">
        <f t="shared" si="26"/>
        <v>0</v>
      </c>
      <c r="M254" s="2">
        <f t="shared" si="27"/>
        <v>0</v>
      </c>
    </row>
    <row r="255" spans="1:13" x14ac:dyDescent="0.3">
      <c r="A255" s="2" t="s">
        <v>808</v>
      </c>
      <c r="B255" s="2" t="s">
        <v>582</v>
      </c>
      <c r="C255" s="2" t="s">
        <v>275</v>
      </c>
      <c r="D255" s="2" t="s">
        <v>1119</v>
      </c>
      <c r="E255" s="2" t="s">
        <v>1115</v>
      </c>
      <c r="F255" s="2" t="s">
        <v>1120</v>
      </c>
      <c r="G255" s="2">
        <f t="shared" si="21"/>
        <v>0</v>
      </c>
      <c r="H255" s="2">
        <f t="shared" si="22"/>
        <v>1</v>
      </c>
      <c r="I255" s="2">
        <f t="shared" si="23"/>
        <v>0</v>
      </c>
      <c r="J255" s="2">
        <f t="shared" si="24"/>
        <v>0</v>
      </c>
      <c r="K255" s="2">
        <f t="shared" si="25"/>
        <v>0</v>
      </c>
      <c r="L255" s="2">
        <f t="shared" si="26"/>
        <v>0</v>
      </c>
      <c r="M255" s="2">
        <f t="shared" si="27"/>
        <v>0</v>
      </c>
    </row>
    <row r="256" spans="1:13" x14ac:dyDescent="0.3">
      <c r="A256" s="2" t="s">
        <v>937</v>
      </c>
      <c r="B256" s="2" t="s">
        <v>620</v>
      </c>
      <c r="C256" s="2" t="s">
        <v>262</v>
      </c>
      <c r="D256" s="2"/>
      <c r="E256" s="2"/>
      <c r="F256" s="2"/>
      <c r="G256" s="2">
        <f t="shared" si="21"/>
        <v>0</v>
      </c>
      <c r="H256" s="2">
        <f t="shared" si="22"/>
        <v>0</v>
      </c>
      <c r="I256" s="2">
        <f t="shared" si="23"/>
        <v>0</v>
      </c>
      <c r="J256" s="2">
        <f t="shared" si="24"/>
        <v>0</v>
      </c>
      <c r="K256" s="2">
        <f t="shared" si="25"/>
        <v>0</v>
      </c>
      <c r="L256" s="2">
        <f t="shared" si="26"/>
        <v>0</v>
      </c>
      <c r="M256" s="2">
        <f t="shared" si="27"/>
        <v>1</v>
      </c>
    </row>
    <row r="257" spans="1:13" x14ac:dyDescent="0.3">
      <c r="A257" s="2" t="s">
        <v>169</v>
      </c>
      <c r="B257" s="2" t="s">
        <v>621</v>
      </c>
      <c r="C257" s="2" t="s">
        <v>249</v>
      </c>
      <c r="D257" s="2" t="s">
        <v>1116</v>
      </c>
      <c r="E257" s="2"/>
      <c r="F257" s="2"/>
      <c r="G257" s="2">
        <f t="shared" si="21"/>
        <v>0</v>
      </c>
      <c r="H257" s="2">
        <f t="shared" si="22"/>
        <v>0</v>
      </c>
      <c r="I257" s="2">
        <f t="shared" si="23"/>
        <v>0</v>
      </c>
      <c r="J257" s="2">
        <f t="shared" si="24"/>
        <v>0</v>
      </c>
      <c r="K257" s="2">
        <f t="shared" si="25"/>
        <v>1</v>
      </c>
      <c r="L257" s="2">
        <f t="shared" si="26"/>
        <v>0</v>
      </c>
      <c r="M257" s="2">
        <f t="shared" si="27"/>
        <v>0</v>
      </c>
    </row>
    <row r="258" spans="1:13" x14ac:dyDescent="0.3">
      <c r="A258" s="2" t="s">
        <v>931</v>
      </c>
      <c r="B258" s="2" t="s">
        <v>608</v>
      </c>
      <c r="C258" s="2" t="s">
        <v>249</v>
      </c>
      <c r="D258" s="2" t="s">
        <v>1121</v>
      </c>
      <c r="E258" s="2" t="s">
        <v>1118</v>
      </c>
      <c r="F258" s="2" t="s">
        <v>1119</v>
      </c>
      <c r="G258" s="2">
        <f t="shared" si="21"/>
        <v>0</v>
      </c>
      <c r="H258" s="2">
        <f t="shared" si="22"/>
        <v>0</v>
      </c>
      <c r="I258" s="2">
        <f t="shared" si="23"/>
        <v>0</v>
      </c>
      <c r="J258" s="2">
        <f t="shared" si="24"/>
        <v>0</v>
      </c>
      <c r="K258" s="2">
        <f t="shared" si="25"/>
        <v>0</v>
      </c>
      <c r="L258" s="2">
        <f t="shared" si="26"/>
        <v>0</v>
      </c>
      <c r="M258" s="2">
        <f t="shared" si="27"/>
        <v>0</v>
      </c>
    </row>
    <row r="259" spans="1:13" x14ac:dyDescent="0.3">
      <c r="A259" s="2" t="s">
        <v>940</v>
      </c>
      <c r="B259" s="2" t="s">
        <v>536</v>
      </c>
      <c r="C259" s="2" t="s">
        <v>249</v>
      </c>
      <c r="D259" s="2" t="s">
        <v>1119</v>
      </c>
      <c r="E259" s="2" t="s">
        <v>1117</v>
      </c>
      <c r="F259" s="2" t="s">
        <v>1116</v>
      </c>
      <c r="G259" s="2">
        <f t="shared" ref="G259:G322" si="28">IF(COUNTIF(C259:F259,"Community Activities")&gt;0,1,0)</f>
        <v>0</v>
      </c>
      <c r="H259" s="2">
        <f t="shared" ref="H259:H322" si="29">IF(COUNTIF(C259:F259," Employment Assistance")&gt;0,1,0)</f>
        <v>0</v>
      </c>
      <c r="I259" s="2">
        <f t="shared" ref="I259:I322" si="30">IF(COUNTIF(C259:F259,"Housing")&gt;0,1,0)</f>
        <v>0</v>
      </c>
      <c r="J259" s="2">
        <f t="shared" ref="J259:J322" si="31">IF(COUNTIF(C259:F259,"Medical")&gt;0,1,0)</f>
        <v>0</v>
      </c>
      <c r="K259" s="2">
        <f t="shared" ref="K259:K322" si="32">IF(COUNTIF(C259:F259," Schooling")&gt;0,1,0)</f>
        <v>1</v>
      </c>
      <c r="L259" s="2">
        <f t="shared" ref="L259:L322" si="33">IF(COUNTIF(C259:F259,"Transport")&gt;0,1,0)</f>
        <v>0</v>
      </c>
      <c r="M259" s="2">
        <f t="shared" ref="M259:M322" si="34">IF(COUNTIF(C259:F259,"Canteen")&gt;0,1,0)</f>
        <v>0</v>
      </c>
    </row>
    <row r="260" spans="1:13" x14ac:dyDescent="0.3">
      <c r="A260" s="2" t="s">
        <v>217</v>
      </c>
      <c r="B260" s="2" t="s">
        <v>587</v>
      </c>
      <c r="C260" s="2" t="s">
        <v>275</v>
      </c>
      <c r="D260" s="2" t="s">
        <v>1117</v>
      </c>
      <c r="E260" s="2"/>
      <c r="F260" s="2"/>
      <c r="G260" s="2">
        <f t="shared" si="28"/>
        <v>0</v>
      </c>
      <c r="H260" s="2">
        <f t="shared" si="29"/>
        <v>0</v>
      </c>
      <c r="I260" s="2">
        <f t="shared" si="30"/>
        <v>0</v>
      </c>
      <c r="J260" s="2">
        <f t="shared" si="31"/>
        <v>0</v>
      </c>
      <c r="K260" s="2">
        <f t="shared" si="32"/>
        <v>0</v>
      </c>
      <c r="L260" s="2">
        <f t="shared" si="33"/>
        <v>0</v>
      </c>
      <c r="M260" s="2">
        <f t="shared" si="34"/>
        <v>0</v>
      </c>
    </row>
    <row r="261" spans="1:13" x14ac:dyDescent="0.3">
      <c r="A261" s="2" t="s">
        <v>685</v>
      </c>
      <c r="B261" s="2" t="s">
        <v>547</v>
      </c>
      <c r="C261" s="2" t="s">
        <v>262</v>
      </c>
      <c r="D261" s="2" t="s">
        <v>1117</v>
      </c>
      <c r="E261" s="2" t="s">
        <v>1118</v>
      </c>
      <c r="F261" s="2"/>
      <c r="G261" s="2">
        <f t="shared" si="28"/>
        <v>0</v>
      </c>
      <c r="H261" s="2">
        <f t="shared" si="29"/>
        <v>0</v>
      </c>
      <c r="I261" s="2">
        <f t="shared" si="30"/>
        <v>0</v>
      </c>
      <c r="J261" s="2">
        <f t="shared" si="31"/>
        <v>0</v>
      </c>
      <c r="K261" s="2">
        <f t="shared" si="32"/>
        <v>0</v>
      </c>
      <c r="L261" s="2">
        <f t="shared" si="33"/>
        <v>0</v>
      </c>
      <c r="M261" s="2">
        <f t="shared" si="34"/>
        <v>1</v>
      </c>
    </row>
    <row r="262" spans="1:13" x14ac:dyDescent="0.3">
      <c r="A262" s="2" t="s">
        <v>688</v>
      </c>
      <c r="B262" s="2" t="s">
        <v>622</v>
      </c>
      <c r="C262" s="2" t="s">
        <v>249</v>
      </c>
      <c r="D262" s="2"/>
      <c r="E262" s="2"/>
      <c r="F262" s="2"/>
      <c r="G262" s="2">
        <f t="shared" si="28"/>
        <v>0</v>
      </c>
      <c r="H262" s="2">
        <f t="shared" si="29"/>
        <v>0</v>
      </c>
      <c r="I262" s="2">
        <f t="shared" si="30"/>
        <v>0</v>
      </c>
      <c r="J262" s="2">
        <f t="shared" si="31"/>
        <v>0</v>
      </c>
      <c r="K262" s="2">
        <f t="shared" si="32"/>
        <v>0</v>
      </c>
      <c r="L262" s="2">
        <f t="shared" si="33"/>
        <v>0</v>
      </c>
      <c r="M262" s="2">
        <f t="shared" si="34"/>
        <v>0</v>
      </c>
    </row>
    <row r="263" spans="1:13" x14ac:dyDescent="0.3">
      <c r="A263" s="2" t="s">
        <v>919</v>
      </c>
      <c r="B263" s="2" t="s">
        <v>623</v>
      </c>
      <c r="C263" s="2" t="s">
        <v>243</v>
      </c>
      <c r="D263" s="2" t="s">
        <v>1121</v>
      </c>
      <c r="E263" s="2" t="s">
        <v>1115</v>
      </c>
      <c r="F263" s="2"/>
      <c r="G263" s="2">
        <f t="shared" si="28"/>
        <v>0</v>
      </c>
      <c r="H263" s="2">
        <f t="shared" si="29"/>
        <v>1</v>
      </c>
      <c r="I263" s="2">
        <f t="shared" si="30"/>
        <v>0</v>
      </c>
      <c r="J263" s="2">
        <f t="shared" si="31"/>
        <v>0</v>
      </c>
      <c r="K263" s="2">
        <f t="shared" si="32"/>
        <v>0</v>
      </c>
      <c r="L263" s="2">
        <f t="shared" si="33"/>
        <v>1</v>
      </c>
      <c r="M263" s="2">
        <f t="shared" si="34"/>
        <v>0</v>
      </c>
    </row>
    <row r="264" spans="1:13" x14ac:dyDescent="0.3">
      <c r="A264" s="2" t="s">
        <v>214</v>
      </c>
      <c r="B264" s="2" t="s">
        <v>624</v>
      </c>
      <c r="C264" s="2" t="s">
        <v>249</v>
      </c>
      <c r="D264" s="2"/>
      <c r="E264" s="2"/>
      <c r="F264" s="2"/>
      <c r="G264" s="2">
        <f t="shared" si="28"/>
        <v>0</v>
      </c>
      <c r="H264" s="2">
        <f t="shared" si="29"/>
        <v>0</v>
      </c>
      <c r="I264" s="2">
        <f t="shared" si="30"/>
        <v>0</v>
      </c>
      <c r="J264" s="2">
        <f t="shared" si="31"/>
        <v>0</v>
      </c>
      <c r="K264" s="2">
        <f t="shared" si="32"/>
        <v>0</v>
      </c>
      <c r="L264" s="2">
        <f t="shared" si="33"/>
        <v>0</v>
      </c>
      <c r="M264" s="2">
        <f t="shared" si="34"/>
        <v>0</v>
      </c>
    </row>
    <row r="265" spans="1:13" x14ac:dyDescent="0.3">
      <c r="A265" s="2" t="s">
        <v>742</v>
      </c>
      <c r="B265" s="2" t="s">
        <v>625</v>
      </c>
      <c r="C265" s="2" t="s">
        <v>243</v>
      </c>
      <c r="D265" s="2" t="s">
        <v>1118</v>
      </c>
      <c r="E265" s="2" t="s">
        <v>1116</v>
      </c>
      <c r="F265" s="2" t="s">
        <v>1115</v>
      </c>
      <c r="G265" s="2">
        <f t="shared" si="28"/>
        <v>0</v>
      </c>
      <c r="H265" s="2">
        <f t="shared" si="29"/>
        <v>1</v>
      </c>
      <c r="I265" s="2">
        <f t="shared" si="30"/>
        <v>0</v>
      </c>
      <c r="J265" s="2">
        <f t="shared" si="31"/>
        <v>0</v>
      </c>
      <c r="K265" s="2">
        <f t="shared" si="32"/>
        <v>1</v>
      </c>
      <c r="L265" s="2">
        <f t="shared" si="33"/>
        <v>1</v>
      </c>
      <c r="M265" s="2">
        <f t="shared" si="34"/>
        <v>0</v>
      </c>
    </row>
    <row r="266" spans="1:13" x14ac:dyDescent="0.3">
      <c r="A266" s="2" t="s">
        <v>916</v>
      </c>
      <c r="B266" s="2" t="s">
        <v>541</v>
      </c>
      <c r="C266" s="2" t="s">
        <v>251</v>
      </c>
      <c r="D266" s="2" t="s">
        <v>1120</v>
      </c>
      <c r="E266" s="2" t="s">
        <v>1118</v>
      </c>
      <c r="F266" s="2" t="s">
        <v>1115</v>
      </c>
      <c r="G266" s="2">
        <f t="shared" si="28"/>
        <v>0</v>
      </c>
      <c r="H266" s="2">
        <f t="shared" si="29"/>
        <v>1</v>
      </c>
      <c r="I266" s="2">
        <f t="shared" si="30"/>
        <v>1</v>
      </c>
      <c r="J266" s="2">
        <f t="shared" si="31"/>
        <v>0</v>
      </c>
      <c r="K266" s="2">
        <f t="shared" si="32"/>
        <v>0</v>
      </c>
      <c r="L266" s="2">
        <f t="shared" si="33"/>
        <v>0</v>
      </c>
      <c r="M266" s="2">
        <f t="shared" si="34"/>
        <v>0</v>
      </c>
    </row>
    <row r="267" spans="1:13" x14ac:dyDescent="0.3">
      <c r="A267" s="2" t="s">
        <v>837</v>
      </c>
      <c r="B267" s="2" t="s">
        <v>626</v>
      </c>
      <c r="C267" s="2" t="s">
        <v>262</v>
      </c>
      <c r="D267" s="2" t="s">
        <v>1115</v>
      </c>
      <c r="E267" s="2" t="s">
        <v>1116</v>
      </c>
      <c r="F267" s="2"/>
      <c r="G267" s="2">
        <f t="shared" si="28"/>
        <v>0</v>
      </c>
      <c r="H267" s="2">
        <f t="shared" si="29"/>
        <v>1</v>
      </c>
      <c r="I267" s="2">
        <f t="shared" si="30"/>
        <v>0</v>
      </c>
      <c r="J267" s="2">
        <f t="shared" si="31"/>
        <v>0</v>
      </c>
      <c r="K267" s="2">
        <f t="shared" si="32"/>
        <v>1</v>
      </c>
      <c r="L267" s="2">
        <f t="shared" si="33"/>
        <v>0</v>
      </c>
      <c r="M267" s="2">
        <f t="shared" si="34"/>
        <v>1</v>
      </c>
    </row>
    <row r="268" spans="1:13" x14ac:dyDescent="0.3">
      <c r="A268" s="2" t="s">
        <v>766</v>
      </c>
      <c r="B268" s="2" t="s">
        <v>627</v>
      </c>
      <c r="C268" s="2" t="s">
        <v>249</v>
      </c>
      <c r="D268" s="2" t="s">
        <v>1120</v>
      </c>
      <c r="E268" s="2" t="s">
        <v>1118</v>
      </c>
      <c r="F268" s="2"/>
      <c r="G268" s="2">
        <f t="shared" si="28"/>
        <v>0</v>
      </c>
      <c r="H268" s="2">
        <f t="shared" si="29"/>
        <v>0</v>
      </c>
      <c r="I268" s="2">
        <f t="shared" si="30"/>
        <v>0</v>
      </c>
      <c r="J268" s="2">
        <f t="shared" si="31"/>
        <v>0</v>
      </c>
      <c r="K268" s="2">
        <f t="shared" si="32"/>
        <v>0</v>
      </c>
      <c r="L268" s="2">
        <f t="shared" si="33"/>
        <v>0</v>
      </c>
      <c r="M268" s="2">
        <f t="shared" si="34"/>
        <v>0</v>
      </c>
    </row>
    <row r="269" spans="1:13" x14ac:dyDescent="0.3">
      <c r="A269" s="2" t="s">
        <v>133</v>
      </c>
      <c r="B269" s="2" t="s">
        <v>583</v>
      </c>
      <c r="C269" s="2" t="s">
        <v>243</v>
      </c>
      <c r="D269" s="2" t="s">
        <v>1118</v>
      </c>
      <c r="E269" s="2" t="s">
        <v>1121</v>
      </c>
      <c r="F269" s="2" t="s">
        <v>1116</v>
      </c>
      <c r="G269" s="2">
        <f t="shared" si="28"/>
        <v>0</v>
      </c>
      <c r="H269" s="2">
        <f t="shared" si="29"/>
        <v>0</v>
      </c>
      <c r="I269" s="2">
        <f t="shared" si="30"/>
        <v>0</v>
      </c>
      <c r="J269" s="2">
        <f t="shared" si="31"/>
        <v>0</v>
      </c>
      <c r="K269" s="2">
        <f t="shared" si="32"/>
        <v>1</v>
      </c>
      <c r="L269" s="2">
        <f t="shared" si="33"/>
        <v>1</v>
      </c>
      <c r="M269" s="2">
        <f t="shared" si="34"/>
        <v>0</v>
      </c>
    </row>
    <row r="270" spans="1:13" x14ac:dyDescent="0.3">
      <c r="A270" s="2" t="s">
        <v>165</v>
      </c>
      <c r="B270" s="2" t="s">
        <v>628</v>
      </c>
      <c r="C270" s="2" t="s">
        <v>251</v>
      </c>
      <c r="D270" s="2"/>
      <c r="E270" s="2"/>
      <c r="F270" s="2"/>
      <c r="G270" s="2">
        <f t="shared" si="28"/>
        <v>0</v>
      </c>
      <c r="H270" s="2">
        <f t="shared" si="29"/>
        <v>0</v>
      </c>
      <c r="I270" s="2">
        <f t="shared" si="30"/>
        <v>1</v>
      </c>
      <c r="J270" s="2">
        <f t="shared" si="31"/>
        <v>0</v>
      </c>
      <c r="K270" s="2">
        <f t="shared" si="32"/>
        <v>0</v>
      </c>
      <c r="L270" s="2">
        <f t="shared" si="33"/>
        <v>0</v>
      </c>
      <c r="M270" s="2">
        <f t="shared" si="34"/>
        <v>0</v>
      </c>
    </row>
    <row r="271" spans="1:13" x14ac:dyDescent="0.3">
      <c r="A271" s="2" t="s">
        <v>815</v>
      </c>
      <c r="B271" s="2" t="s">
        <v>629</v>
      </c>
      <c r="C271" s="2" t="s">
        <v>255</v>
      </c>
      <c r="D271" s="2" t="s">
        <v>1119</v>
      </c>
      <c r="E271" s="2" t="s">
        <v>1120</v>
      </c>
      <c r="F271" s="2" t="s">
        <v>1115</v>
      </c>
      <c r="G271" s="2">
        <f t="shared" si="28"/>
        <v>1</v>
      </c>
      <c r="H271" s="2">
        <f t="shared" si="29"/>
        <v>1</v>
      </c>
      <c r="I271" s="2">
        <f t="shared" si="30"/>
        <v>0</v>
      </c>
      <c r="J271" s="2">
        <f t="shared" si="31"/>
        <v>0</v>
      </c>
      <c r="K271" s="2">
        <f t="shared" si="32"/>
        <v>0</v>
      </c>
      <c r="L271" s="2">
        <f t="shared" si="33"/>
        <v>0</v>
      </c>
      <c r="M271" s="2">
        <f t="shared" si="34"/>
        <v>0</v>
      </c>
    </row>
    <row r="272" spans="1:13" x14ac:dyDescent="0.3">
      <c r="A272" s="2" t="s">
        <v>868</v>
      </c>
      <c r="B272" s="2" t="s">
        <v>567</v>
      </c>
      <c r="C272" s="2" t="s">
        <v>255</v>
      </c>
      <c r="D272" s="2" t="s">
        <v>1116</v>
      </c>
      <c r="E272" s="2"/>
      <c r="F272" s="2"/>
      <c r="G272" s="2">
        <f t="shared" si="28"/>
        <v>1</v>
      </c>
      <c r="H272" s="2">
        <f t="shared" si="29"/>
        <v>0</v>
      </c>
      <c r="I272" s="2">
        <f t="shared" si="30"/>
        <v>0</v>
      </c>
      <c r="J272" s="2">
        <f t="shared" si="31"/>
        <v>0</v>
      </c>
      <c r="K272" s="2">
        <f t="shared" si="32"/>
        <v>1</v>
      </c>
      <c r="L272" s="2">
        <f t="shared" si="33"/>
        <v>0</v>
      </c>
      <c r="M272" s="2">
        <f t="shared" si="34"/>
        <v>0</v>
      </c>
    </row>
    <row r="273" spans="1:13" x14ac:dyDescent="0.3">
      <c r="A273" s="2" t="s">
        <v>883</v>
      </c>
      <c r="B273" s="2" t="s">
        <v>580</v>
      </c>
      <c r="C273" s="2" t="s">
        <v>241</v>
      </c>
      <c r="D273" s="2" t="s">
        <v>1119</v>
      </c>
      <c r="E273" s="2" t="s">
        <v>1115</v>
      </c>
      <c r="F273" s="2" t="s">
        <v>1120</v>
      </c>
      <c r="G273" s="2">
        <f t="shared" si="28"/>
        <v>0</v>
      </c>
      <c r="H273" s="2">
        <f t="shared" si="29"/>
        <v>1</v>
      </c>
      <c r="I273" s="2">
        <f t="shared" si="30"/>
        <v>0</v>
      </c>
      <c r="J273" s="2">
        <f t="shared" si="31"/>
        <v>1</v>
      </c>
      <c r="K273" s="2">
        <f t="shared" si="32"/>
        <v>0</v>
      </c>
      <c r="L273" s="2">
        <f t="shared" si="33"/>
        <v>0</v>
      </c>
      <c r="M273" s="2">
        <f t="shared" si="34"/>
        <v>0</v>
      </c>
    </row>
    <row r="274" spans="1:13" x14ac:dyDescent="0.3">
      <c r="A274" s="2" t="s">
        <v>740</v>
      </c>
      <c r="B274" s="2" t="s">
        <v>531</v>
      </c>
      <c r="C274" s="2" t="s">
        <v>262</v>
      </c>
      <c r="D274" s="2" t="s">
        <v>1118</v>
      </c>
      <c r="E274" s="2"/>
      <c r="F274" s="2"/>
      <c r="G274" s="2">
        <f t="shared" si="28"/>
        <v>0</v>
      </c>
      <c r="H274" s="2">
        <f t="shared" si="29"/>
        <v>0</v>
      </c>
      <c r="I274" s="2">
        <f t="shared" si="30"/>
        <v>0</v>
      </c>
      <c r="J274" s="2">
        <f t="shared" si="31"/>
        <v>0</v>
      </c>
      <c r="K274" s="2">
        <f t="shared" si="32"/>
        <v>0</v>
      </c>
      <c r="L274" s="2">
        <f t="shared" si="33"/>
        <v>0</v>
      </c>
      <c r="M274" s="2">
        <f t="shared" si="34"/>
        <v>1</v>
      </c>
    </row>
    <row r="275" spans="1:13" x14ac:dyDescent="0.3">
      <c r="A275" s="2" t="s">
        <v>135</v>
      </c>
      <c r="B275" s="2" t="s">
        <v>605</v>
      </c>
      <c r="C275" s="2" t="s">
        <v>251</v>
      </c>
      <c r="D275" s="2" t="s">
        <v>1116</v>
      </c>
      <c r="E275" s="2" t="s">
        <v>1118</v>
      </c>
      <c r="F275" s="2" t="s">
        <v>1115</v>
      </c>
      <c r="G275" s="2">
        <f t="shared" si="28"/>
        <v>0</v>
      </c>
      <c r="H275" s="2">
        <f t="shared" si="29"/>
        <v>1</v>
      </c>
      <c r="I275" s="2">
        <f t="shared" si="30"/>
        <v>1</v>
      </c>
      <c r="J275" s="2">
        <f t="shared" si="31"/>
        <v>0</v>
      </c>
      <c r="K275" s="2">
        <f t="shared" si="32"/>
        <v>1</v>
      </c>
      <c r="L275" s="2">
        <f t="shared" si="33"/>
        <v>0</v>
      </c>
      <c r="M275" s="2">
        <f t="shared" si="34"/>
        <v>0</v>
      </c>
    </row>
    <row r="276" spans="1:13" x14ac:dyDescent="0.3">
      <c r="A276" s="2" t="s">
        <v>780</v>
      </c>
      <c r="B276" s="2" t="s">
        <v>603</v>
      </c>
      <c r="C276" s="2" t="s">
        <v>241</v>
      </c>
      <c r="D276" s="2" t="s">
        <v>1115</v>
      </c>
      <c r="E276" s="2" t="s">
        <v>1120</v>
      </c>
      <c r="F276" s="2" t="s">
        <v>1121</v>
      </c>
      <c r="G276" s="2">
        <f t="shared" si="28"/>
        <v>0</v>
      </c>
      <c r="H276" s="2">
        <f t="shared" si="29"/>
        <v>1</v>
      </c>
      <c r="I276" s="2">
        <f t="shared" si="30"/>
        <v>0</v>
      </c>
      <c r="J276" s="2">
        <f t="shared" si="31"/>
        <v>1</v>
      </c>
      <c r="K276" s="2">
        <f t="shared" si="32"/>
        <v>0</v>
      </c>
      <c r="L276" s="2">
        <f t="shared" si="33"/>
        <v>0</v>
      </c>
      <c r="M276" s="2">
        <f t="shared" si="34"/>
        <v>0</v>
      </c>
    </row>
    <row r="277" spans="1:13" x14ac:dyDescent="0.3">
      <c r="A277" s="2" t="s">
        <v>146</v>
      </c>
      <c r="B277" s="2" t="s">
        <v>630</v>
      </c>
      <c r="C277" s="2" t="s">
        <v>251</v>
      </c>
      <c r="D277" s="2" t="s">
        <v>1121</v>
      </c>
      <c r="E277" s="2"/>
      <c r="F277" s="2"/>
      <c r="G277" s="2">
        <f t="shared" si="28"/>
        <v>0</v>
      </c>
      <c r="H277" s="2">
        <f t="shared" si="29"/>
        <v>0</v>
      </c>
      <c r="I277" s="2">
        <f t="shared" si="30"/>
        <v>1</v>
      </c>
      <c r="J277" s="2">
        <f t="shared" si="31"/>
        <v>0</v>
      </c>
      <c r="K277" s="2">
        <f t="shared" si="32"/>
        <v>0</v>
      </c>
      <c r="L277" s="2">
        <f t="shared" si="33"/>
        <v>0</v>
      </c>
      <c r="M277" s="2">
        <f t="shared" si="34"/>
        <v>0</v>
      </c>
    </row>
    <row r="278" spans="1:13" x14ac:dyDescent="0.3">
      <c r="A278" s="2" t="s">
        <v>712</v>
      </c>
      <c r="B278" s="2" t="s">
        <v>570</v>
      </c>
      <c r="C278" s="2" t="s">
        <v>249</v>
      </c>
      <c r="D278" s="2" t="s">
        <v>1117</v>
      </c>
      <c r="E278" s="2"/>
      <c r="F278" s="2"/>
      <c r="G278" s="2">
        <f t="shared" si="28"/>
        <v>0</v>
      </c>
      <c r="H278" s="2">
        <f t="shared" si="29"/>
        <v>0</v>
      </c>
      <c r="I278" s="2">
        <f t="shared" si="30"/>
        <v>0</v>
      </c>
      <c r="J278" s="2">
        <f t="shared" si="31"/>
        <v>0</v>
      </c>
      <c r="K278" s="2">
        <f t="shared" si="32"/>
        <v>0</v>
      </c>
      <c r="L278" s="2">
        <f t="shared" si="33"/>
        <v>0</v>
      </c>
      <c r="M278" s="2">
        <f t="shared" si="34"/>
        <v>0</v>
      </c>
    </row>
    <row r="279" spans="1:13" x14ac:dyDescent="0.3">
      <c r="A279" s="2" t="s">
        <v>901</v>
      </c>
      <c r="B279" s="2" t="s">
        <v>631</v>
      </c>
      <c r="C279" s="2" t="s">
        <v>255</v>
      </c>
      <c r="D279" s="2"/>
      <c r="E279" s="2"/>
      <c r="F279" s="2"/>
      <c r="G279" s="2">
        <f t="shared" si="28"/>
        <v>1</v>
      </c>
      <c r="H279" s="2">
        <f t="shared" si="29"/>
        <v>0</v>
      </c>
      <c r="I279" s="2">
        <f t="shared" si="30"/>
        <v>0</v>
      </c>
      <c r="J279" s="2">
        <f t="shared" si="31"/>
        <v>0</v>
      </c>
      <c r="K279" s="2">
        <f t="shared" si="32"/>
        <v>0</v>
      </c>
      <c r="L279" s="2">
        <f t="shared" si="33"/>
        <v>0</v>
      </c>
      <c r="M279" s="2">
        <f t="shared" si="34"/>
        <v>0</v>
      </c>
    </row>
    <row r="280" spans="1:13" x14ac:dyDescent="0.3">
      <c r="A280" s="2" t="s">
        <v>824</v>
      </c>
      <c r="B280" s="2" t="s">
        <v>632</v>
      </c>
      <c r="C280" s="2" t="s">
        <v>243</v>
      </c>
      <c r="D280" s="2"/>
      <c r="E280" s="2"/>
      <c r="F280" s="2"/>
      <c r="G280" s="2">
        <f t="shared" si="28"/>
        <v>0</v>
      </c>
      <c r="H280" s="2">
        <f t="shared" si="29"/>
        <v>0</v>
      </c>
      <c r="I280" s="2">
        <f t="shared" si="30"/>
        <v>0</v>
      </c>
      <c r="J280" s="2">
        <f t="shared" si="31"/>
        <v>0</v>
      </c>
      <c r="K280" s="2">
        <f t="shared" si="32"/>
        <v>0</v>
      </c>
      <c r="L280" s="2">
        <f t="shared" si="33"/>
        <v>1</v>
      </c>
      <c r="M280" s="2">
        <f t="shared" si="34"/>
        <v>0</v>
      </c>
    </row>
    <row r="281" spans="1:13" x14ac:dyDescent="0.3">
      <c r="A281" s="2" t="s">
        <v>784</v>
      </c>
      <c r="B281" s="2" t="s">
        <v>549</v>
      </c>
      <c r="C281" s="2" t="s">
        <v>241</v>
      </c>
      <c r="D281" s="2" t="s">
        <v>1121</v>
      </c>
      <c r="E281" s="2" t="s">
        <v>1116</v>
      </c>
      <c r="F281" s="2" t="s">
        <v>1120</v>
      </c>
      <c r="G281" s="2">
        <f t="shared" si="28"/>
        <v>0</v>
      </c>
      <c r="H281" s="2">
        <f t="shared" si="29"/>
        <v>0</v>
      </c>
      <c r="I281" s="2">
        <f t="shared" si="30"/>
        <v>0</v>
      </c>
      <c r="J281" s="2">
        <f t="shared" si="31"/>
        <v>1</v>
      </c>
      <c r="K281" s="2">
        <f t="shared" si="32"/>
        <v>1</v>
      </c>
      <c r="L281" s="2">
        <f t="shared" si="33"/>
        <v>0</v>
      </c>
      <c r="M281" s="2">
        <f t="shared" si="34"/>
        <v>0</v>
      </c>
    </row>
    <row r="282" spans="1:13" x14ac:dyDescent="0.3">
      <c r="A282" s="2" t="s">
        <v>765</v>
      </c>
      <c r="B282" s="2" t="s">
        <v>633</v>
      </c>
      <c r="C282" s="2" t="s">
        <v>262</v>
      </c>
      <c r="D282" s="2" t="s">
        <v>1115</v>
      </c>
      <c r="E282" s="2"/>
      <c r="F282" s="2"/>
      <c r="G282" s="2">
        <f t="shared" si="28"/>
        <v>0</v>
      </c>
      <c r="H282" s="2">
        <f t="shared" si="29"/>
        <v>1</v>
      </c>
      <c r="I282" s="2">
        <f t="shared" si="30"/>
        <v>0</v>
      </c>
      <c r="J282" s="2">
        <f t="shared" si="31"/>
        <v>0</v>
      </c>
      <c r="K282" s="2">
        <f t="shared" si="32"/>
        <v>0</v>
      </c>
      <c r="L282" s="2">
        <f t="shared" si="33"/>
        <v>0</v>
      </c>
      <c r="M282" s="2">
        <f t="shared" si="34"/>
        <v>1</v>
      </c>
    </row>
    <row r="283" spans="1:13" x14ac:dyDescent="0.3">
      <c r="A283" s="2" t="s">
        <v>852</v>
      </c>
      <c r="B283" s="2" t="s">
        <v>615</v>
      </c>
      <c r="C283" s="2" t="s">
        <v>262</v>
      </c>
      <c r="D283" s="2" t="s">
        <v>1116</v>
      </c>
      <c r="E283" s="2" t="s">
        <v>1119</v>
      </c>
      <c r="F283" s="2"/>
      <c r="G283" s="2">
        <f t="shared" si="28"/>
        <v>0</v>
      </c>
      <c r="H283" s="2">
        <f t="shared" si="29"/>
        <v>0</v>
      </c>
      <c r="I283" s="2">
        <f t="shared" si="30"/>
        <v>0</v>
      </c>
      <c r="J283" s="2">
        <f t="shared" si="31"/>
        <v>0</v>
      </c>
      <c r="K283" s="2">
        <f t="shared" si="32"/>
        <v>1</v>
      </c>
      <c r="L283" s="2">
        <f t="shared" si="33"/>
        <v>0</v>
      </c>
      <c r="M283" s="2">
        <f t="shared" si="34"/>
        <v>1</v>
      </c>
    </row>
    <row r="284" spans="1:13" x14ac:dyDescent="0.3">
      <c r="A284" s="2" t="s">
        <v>903</v>
      </c>
      <c r="B284" s="2" t="s">
        <v>565</v>
      </c>
      <c r="C284" s="2" t="s">
        <v>275</v>
      </c>
      <c r="D284" s="2" t="s">
        <v>1118</v>
      </c>
      <c r="E284" s="2" t="s">
        <v>1117</v>
      </c>
      <c r="F284" s="2"/>
      <c r="G284" s="2">
        <f t="shared" si="28"/>
        <v>0</v>
      </c>
      <c r="H284" s="2">
        <f t="shared" si="29"/>
        <v>0</v>
      </c>
      <c r="I284" s="2">
        <f t="shared" si="30"/>
        <v>0</v>
      </c>
      <c r="J284" s="2">
        <f t="shared" si="31"/>
        <v>0</v>
      </c>
      <c r="K284" s="2">
        <f t="shared" si="32"/>
        <v>0</v>
      </c>
      <c r="L284" s="2">
        <f t="shared" si="33"/>
        <v>0</v>
      </c>
      <c r="M284" s="2">
        <f t="shared" si="34"/>
        <v>0</v>
      </c>
    </row>
    <row r="285" spans="1:13" x14ac:dyDescent="0.3">
      <c r="A285" s="2" t="s">
        <v>228</v>
      </c>
      <c r="B285" s="2" t="s">
        <v>596</v>
      </c>
      <c r="C285" s="2" t="s">
        <v>251</v>
      </c>
      <c r="D285" s="2" t="s">
        <v>1120</v>
      </c>
      <c r="E285" s="2" t="s">
        <v>1117</v>
      </c>
      <c r="F285" s="2"/>
      <c r="G285" s="2">
        <f t="shared" si="28"/>
        <v>0</v>
      </c>
      <c r="H285" s="2">
        <f t="shared" si="29"/>
        <v>0</v>
      </c>
      <c r="I285" s="2">
        <f t="shared" si="30"/>
        <v>1</v>
      </c>
      <c r="J285" s="2">
        <f t="shared" si="31"/>
        <v>0</v>
      </c>
      <c r="K285" s="2">
        <f t="shared" si="32"/>
        <v>0</v>
      </c>
      <c r="L285" s="2">
        <f t="shared" si="33"/>
        <v>0</v>
      </c>
      <c r="M285" s="2">
        <f t="shared" si="34"/>
        <v>0</v>
      </c>
    </row>
    <row r="286" spans="1:13" x14ac:dyDescent="0.3">
      <c r="A286" s="2" t="s">
        <v>218</v>
      </c>
      <c r="B286" s="2" t="s">
        <v>567</v>
      </c>
      <c r="C286" s="2" t="s">
        <v>243</v>
      </c>
      <c r="D286" s="2" t="s">
        <v>1119</v>
      </c>
      <c r="E286" s="2" t="s">
        <v>1120</v>
      </c>
      <c r="F286" s="2"/>
      <c r="G286" s="2">
        <f t="shared" si="28"/>
        <v>0</v>
      </c>
      <c r="H286" s="2">
        <f t="shared" si="29"/>
        <v>0</v>
      </c>
      <c r="I286" s="2">
        <f t="shared" si="30"/>
        <v>0</v>
      </c>
      <c r="J286" s="2">
        <f t="shared" si="31"/>
        <v>0</v>
      </c>
      <c r="K286" s="2">
        <f t="shared" si="32"/>
        <v>0</v>
      </c>
      <c r="L286" s="2">
        <f t="shared" si="33"/>
        <v>1</v>
      </c>
      <c r="M286" s="2">
        <f t="shared" si="34"/>
        <v>0</v>
      </c>
    </row>
    <row r="287" spans="1:13" x14ac:dyDescent="0.3">
      <c r="A287" s="2" t="s">
        <v>224</v>
      </c>
      <c r="B287" s="2" t="s">
        <v>589</v>
      </c>
      <c r="C287" s="2" t="s">
        <v>262</v>
      </c>
      <c r="D287" s="2" t="s">
        <v>1115</v>
      </c>
      <c r="E287" s="2"/>
      <c r="F287" s="2"/>
      <c r="G287" s="2">
        <f t="shared" si="28"/>
        <v>0</v>
      </c>
      <c r="H287" s="2">
        <f t="shared" si="29"/>
        <v>1</v>
      </c>
      <c r="I287" s="2">
        <f t="shared" si="30"/>
        <v>0</v>
      </c>
      <c r="J287" s="2">
        <f t="shared" si="31"/>
        <v>0</v>
      </c>
      <c r="K287" s="2">
        <f t="shared" si="32"/>
        <v>0</v>
      </c>
      <c r="L287" s="2">
        <f t="shared" si="33"/>
        <v>0</v>
      </c>
      <c r="M287" s="2">
        <f t="shared" si="34"/>
        <v>1</v>
      </c>
    </row>
    <row r="288" spans="1:13" x14ac:dyDescent="0.3">
      <c r="A288" s="2" t="s">
        <v>933</v>
      </c>
      <c r="B288" s="2" t="s">
        <v>634</v>
      </c>
      <c r="C288" s="2" t="s">
        <v>262</v>
      </c>
      <c r="D288" s="2" t="s">
        <v>1119</v>
      </c>
      <c r="E288" s="2" t="s">
        <v>1115</v>
      </c>
      <c r="F288" s="2"/>
      <c r="G288" s="2">
        <f t="shared" si="28"/>
        <v>0</v>
      </c>
      <c r="H288" s="2">
        <f t="shared" si="29"/>
        <v>1</v>
      </c>
      <c r="I288" s="2">
        <f t="shared" si="30"/>
        <v>0</v>
      </c>
      <c r="J288" s="2">
        <f t="shared" si="31"/>
        <v>0</v>
      </c>
      <c r="K288" s="2">
        <f t="shared" si="32"/>
        <v>0</v>
      </c>
      <c r="L288" s="2">
        <f t="shared" si="33"/>
        <v>0</v>
      </c>
      <c r="M288" s="2">
        <f t="shared" si="34"/>
        <v>1</v>
      </c>
    </row>
    <row r="289" spans="1:13" x14ac:dyDescent="0.3">
      <c r="A289" s="2" t="s">
        <v>943</v>
      </c>
      <c r="B289" s="2" t="s">
        <v>532</v>
      </c>
      <c r="C289" s="2" t="s">
        <v>241</v>
      </c>
      <c r="D289" s="2"/>
      <c r="E289" s="2"/>
      <c r="F289" s="2"/>
      <c r="G289" s="2">
        <f t="shared" si="28"/>
        <v>0</v>
      </c>
      <c r="H289" s="2">
        <f t="shared" si="29"/>
        <v>0</v>
      </c>
      <c r="I289" s="2">
        <f t="shared" si="30"/>
        <v>0</v>
      </c>
      <c r="J289" s="2">
        <f t="shared" si="31"/>
        <v>1</v>
      </c>
      <c r="K289" s="2">
        <f t="shared" si="32"/>
        <v>0</v>
      </c>
      <c r="L289" s="2">
        <f t="shared" si="33"/>
        <v>0</v>
      </c>
      <c r="M289" s="2">
        <f t="shared" si="34"/>
        <v>0</v>
      </c>
    </row>
    <row r="290" spans="1:13" x14ac:dyDescent="0.3">
      <c r="A290" s="2" t="s">
        <v>737</v>
      </c>
      <c r="B290" s="2" t="s">
        <v>603</v>
      </c>
      <c r="C290" s="2" t="s">
        <v>243</v>
      </c>
      <c r="D290" s="2" t="s">
        <v>1120</v>
      </c>
      <c r="E290" s="2" t="s">
        <v>1116</v>
      </c>
      <c r="F290" s="2" t="s">
        <v>1118</v>
      </c>
      <c r="G290" s="2">
        <f t="shared" si="28"/>
        <v>0</v>
      </c>
      <c r="H290" s="2">
        <f t="shared" si="29"/>
        <v>0</v>
      </c>
      <c r="I290" s="2">
        <f t="shared" si="30"/>
        <v>0</v>
      </c>
      <c r="J290" s="2">
        <f t="shared" si="31"/>
        <v>0</v>
      </c>
      <c r="K290" s="2">
        <f t="shared" si="32"/>
        <v>1</v>
      </c>
      <c r="L290" s="2">
        <f t="shared" si="33"/>
        <v>1</v>
      </c>
      <c r="M290" s="2">
        <f t="shared" si="34"/>
        <v>0</v>
      </c>
    </row>
    <row r="291" spans="1:13" x14ac:dyDescent="0.3">
      <c r="A291" s="2" t="s">
        <v>724</v>
      </c>
      <c r="B291" s="2" t="s">
        <v>588</v>
      </c>
      <c r="C291" s="2" t="s">
        <v>251</v>
      </c>
      <c r="D291" s="2" t="s">
        <v>1116</v>
      </c>
      <c r="E291" s="2" t="s">
        <v>1121</v>
      </c>
      <c r="F291" s="2" t="s">
        <v>1120</v>
      </c>
      <c r="G291" s="2">
        <f t="shared" si="28"/>
        <v>0</v>
      </c>
      <c r="H291" s="2">
        <f t="shared" si="29"/>
        <v>0</v>
      </c>
      <c r="I291" s="2">
        <f t="shared" si="30"/>
        <v>1</v>
      </c>
      <c r="J291" s="2">
        <f t="shared" si="31"/>
        <v>0</v>
      </c>
      <c r="K291" s="2">
        <f t="shared" si="32"/>
        <v>1</v>
      </c>
      <c r="L291" s="2">
        <f t="shared" si="33"/>
        <v>0</v>
      </c>
      <c r="M291" s="2">
        <f t="shared" si="34"/>
        <v>0</v>
      </c>
    </row>
    <row r="292" spans="1:13" x14ac:dyDescent="0.3">
      <c r="A292" s="2" t="s">
        <v>762</v>
      </c>
      <c r="B292" s="2" t="s">
        <v>546</v>
      </c>
      <c r="C292" s="2" t="s">
        <v>249</v>
      </c>
      <c r="D292" s="2"/>
      <c r="E292" s="2"/>
      <c r="F292" s="2"/>
      <c r="G292" s="2">
        <f t="shared" si="28"/>
        <v>0</v>
      </c>
      <c r="H292" s="2">
        <f t="shared" si="29"/>
        <v>0</v>
      </c>
      <c r="I292" s="2">
        <f t="shared" si="30"/>
        <v>0</v>
      </c>
      <c r="J292" s="2">
        <f t="shared" si="31"/>
        <v>0</v>
      </c>
      <c r="K292" s="2">
        <f t="shared" si="32"/>
        <v>0</v>
      </c>
      <c r="L292" s="2">
        <f t="shared" si="33"/>
        <v>0</v>
      </c>
      <c r="M292" s="2">
        <f t="shared" si="34"/>
        <v>0</v>
      </c>
    </row>
    <row r="293" spans="1:13" x14ac:dyDescent="0.3">
      <c r="A293" s="2" t="s">
        <v>809</v>
      </c>
      <c r="B293" s="2" t="s">
        <v>635</v>
      </c>
      <c r="C293" s="2" t="s">
        <v>243</v>
      </c>
      <c r="D293" s="2" t="s">
        <v>1121</v>
      </c>
      <c r="E293" s="2"/>
      <c r="F293" s="2"/>
      <c r="G293" s="2">
        <f t="shared" si="28"/>
        <v>0</v>
      </c>
      <c r="H293" s="2">
        <f t="shared" si="29"/>
        <v>0</v>
      </c>
      <c r="I293" s="2">
        <f t="shared" si="30"/>
        <v>0</v>
      </c>
      <c r="J293" s="2">
        <f t="shared" si="31"/>
        <v>0</v>
      </c>
      <c r="K293" s="2">
        <f t="shared" si="32"/>
        <v>0</v>
      </c>
      <c r="L293" s="2">
        <f t="shared" si="33"/>
        <v>1</v>
      </c>
      <c r="M293" s="2">
        <f t="shared" si="34"/>
        <v>0</v>
      </c>
    </row>
    <row r="294" spans="1:13" x14ac:dyDescent="0.3">
      <c r="A294" s="2" t="s">
        <v>793</v>
      </c>
      <c r="B294" s="2" t="s">
        <v>636</v>
      </c>
      <c r="C294" s="2" t="s">
        <v>243</v>
      </c>
      <c r="D294" s="2"/>
      <c r="E294" s="2"/>
      <c r="F294" s="2"/>
      <c r="G294" s="2">
        <f t="shared" si="28"/>
        <v>0</v>
      </c>
      <c r="H294" s="2">
        <f t="shared" si="29"/>
        <v>0</v>
      </c>
      <c r="I294" s="2">
        <f t="shared" si="30"/>
        <v>0</v>
      </c>
      <c r="J294" s="2">
        <f t="shared" si="31"/>
        <v>0</v>
      </c>
      <c r="K294" s="2">
        <f t="shared" si="32"/>
        <v>0</v>
      </c>
      <c r="L294" s="2">
        <f t="shared" si="33"/>
        <v>1</v>
      </c>
      <c r="M294" s="2">
        <f t="shared" si="34"/>
        <v>0</v>
      </c>
    </row>
    <row r="295" spans="1:13" x14ac:dyDescent="0.3">
      <c r="A295" s="2" t="s">
        <v>180</v>
      </c>
      <c r="B295" s="2" t="s">
        <v>547</v>
      </c>
      <c r="C295" s="2" t="s">
        <v>243</v>
      </c>
      <c r="D295" s="2" t="s">
        <v>1121</v>
      </c>
      <c r="E295" s="2" t="s">
        <v>1118</v>
      </c>
      <c r="F295" s="2" t="s">
        <v>1115</v>
      </c>
      <c r="G295" s="2">
        <f t="shared" si="28"/>
        <v>0</v>
      </c>
      <c r="H295" s="2">
        <f t="shared" si="29"/>
        <v>1</v>
      </c>
      <c r="I295" s="2">
        <f t="shared" si="30"/>
        <v>0</v>
      </c>
      <c r="J295" s="2">
        <f t="shared" si="31"/>
        <v>0</v>
      </c>
      <c r="K295" s="2">
        <f t="shared" si="32"/>
        <v>0</v>
      </c>
      <c r="L295" s="2">
        <f t="shared" si="33"/>
        <v>1</v>
      </c>
      <c r="M295" s="2">
        <f t="shared" si="34"/>
        <v>0</v>
      </c>
    </row>
    <row r="296" spans="1:13" x14ac:dyDescent="0.3">
      <c r="A296" s="2" t="s">
        <v>694</v>
      </c>
      <c r="B296" s="2" t="s">
        <v>591</v>
      </c>
      <c r="C296" s="2" t="s">
        <v>255</v>
      </c>
      <c r="D296" s="2"/>
      <c r="E296" s="2"/>
      <c r="F296" s="2"/>
      <c r="G296" s="2">
        <f t="shared" si="28"/>
        <v>1</v>
      </c>
      <c r="H296" s="2">
        <f t="shared" si="29"/>
        <v>0</v>
      </c>
      <c r="I296" s="2">
        <f t="shared" si="30"/>
        <v>0</v>
      </c>
      <c r="J296" s="2">
        <f t="shared" si="31"/>
        <v>0</v>
      </c>
      <c r="K296" s="2">
        <f t="shared" si="32"/>
        <v>0</v>
      </c>
      <c r="L296" s="2">
        <f t="shared" si="33"/>
        <v>0</v>
      </c>
      <c r="M296" s="2">
        <f t="shared" si="34"/>
        <v>0</v>
      </c>
    </row>
    <row r="297" spans="1:13" x14ac:dyDescent="0.3">
      <c r="A297" s="2" t="s">
        <v>667</v>
      </c>
      <c r="B297" s="2" t="s">
        <v>620</v>
      </c>
      <c r="C297" s="2" t="s">
        <v>251</v>
      </c>
      <c r="D297" s="2" t="s">
        <v>1121</v>
      </c>
      <c r="E297" s="2" t="s">
        <v>1116</v>
      </c>
      <c r="F297" s="2"/>
      <c r="G297" s="2">
        <f t="shared" si="28"/>
        <v>0</v>
      </c>
      <c r="H297" s="2">
        <f t="shared" si="29"/>
        <v>0</v>
      </c>
      <c r="I297" s="2">
        <f t="shared" si="30"/>
        <v>1</v>
      </c>
      <c r="J297" s="2">
        <f t="shared" si="31"/>
        <v>0</v>
      </c>
      <c r="K297" s="2">
        <f t="shared" si="32"/>
        <v>1</v>
      </c>
      <c r="L297" s="2">
        <f t="shared" si="33"/>
        <v>0</v>
      </c>
      <c r="M297" s="2">
        <f t="shared" si="34"/>
        <v>0</v>
      </c>
    </row>
    <row r="298" spans="1:13" x14ac:dyDescent="0.3">
      <c r="A298" s="2" t="s">
        <v>810</v>
      </c>
      <c r="B298" s="2" t="s">
        <v>559</v>
      </c>
      <c r="C298" s="2" t="s">
        <v>255</v>
      </c>
      <c r="D298" s="2"/>
      <c r="E298" s="2"/>
      <c r="F298" s="2"/>
      <c r="G298" s="2">
        <f t="shared" si="28"/>
        <v>1</v>
      </c>
      <c r="H298" s="2">
        <f t="shared" si="29"/>
        <v>0</v>
      </c>
      <c r="I298" s="2">
        <f t="shared" si="30"/>
        <v>0</v>
      </c>
      <c r="J298" s="2">
        <f t="shared" si="31"/>
        <v>0</v>
      </c>
      <c r="K298" s="2">
        <f t="shared" si="32"/>
        <v>0</v>
      </c>
      <c r="L298" s="2">
        <f t="shared" si="33"/>
        <v>0</v>
      </c>
      <c r="M298" s="2">
        <f t="shared" si="34"/>
        <v>0</v>
      </c>
    </row>
    <row r="299" spans="1:13" x14ac:dyDescent="0.3">
      <c r="A299" s="2" t="s">
        <v>771</v>
      </c>
      <c r="B299" s="2" t="s">
        <v>637</v>
      </c>
      <c r="C299" s="2" t="s">
        <v>255</v>
      </c>
      <c r="D299" s="2" t="s">
        <v>1118</v>
      </c>
      <c r="E299" s="2"/>
      <c r="F299" s="2"/>
      <c r="G299" s="2">
        <f t="shared" si="28"/>
        <v>1</v>
      </c>
      <c r="H299" s="2">
        <f t="shared" si="29"/>
        <v>0</v>
      </c>
      <c r="I299" s="2">
        <f t="shared" si="30"/>
        <v>0</v>
      </c>
      <c r="J299" s="2">
        <f t="shared" si="31"/>
        <v>0</v>
      </c>
      <c r="K299" s="2">
        <f t="shared" si="32"/>
        <v>0</v>
      </c>
      <c r="L299" s="2">
        <f t="shared" si="33"/>
        <v>0</v>
      </c>
      <c r="M299" s="2">
        <f t="shared" si="34"/>
        <v>0</v>
      </c>
    </row>
    <row r="300" spans="1:13" x14ac:dyDescent="0.3">
      <c r="A300" s="2" t="s">
        <v>175</v>
      </c>
      <c r="B300" s="2" t="s">
        <v>604</v>
      </c>
      <c r="C300" s="2" t="s">
        <v>251</v>
      </c>
      <c r="D300" s="2" t="s">
        <v>1121</v>
      </c>
      <c r="E300" s="2" t="s">
        <v>1117</v>
      </c>
      <c r="F300" s="2" t="s">
        <v>1116</v>
      </c>
      <c r="G300" s="2">
        <f t="shared" si="28"/>
        <v>0</v>
      </c>
      <c r="H300" s="2">
        <f t="shared" si="29"/>
        <v>0</v>
      </c>
      <c r="I300" s="2">
        <f t="shared" si="30"/>
        <v>1</v>
      </c>
      <c r="J300" s="2">
        <f t="shared" si="31"/>
        <v>0</v>
      </c>
      <c r="K300" s="2">
        <f t="shared" si="32"/>
        <v>1</v>
      </c>
      <c r="L300" s="2">
        <f t="shared" si="33"/>
        <v>0</v>
      </c>
      <c r="M300" s="2">
        <f t="shared" si="34"/>
        <v>0</v>
      </c>
    </row>
    <row r="301" spans="1:13" x14ac:dyDescent="0.3">
      <c r="A301" s="2" t="s">
        <v>164</v>
      </c>
      <c r="B301" s="2" t="s">
        <v>638</v>
      </c>
      <c r="C301" s="2" t="s">
        <v>241</v>
      </c>
      <c r="D301" s="2"/>
      <c r="E301" s="2"/>
      <c r="F301" s="2"/>
      <c r="G301" s="2">
        <f t="shared" si="28"/>
        <v>0</v>
      </c>
      <c r="H301" s="2">
        <f t="shared" si="29"/>
        <v>0</v>
      </c>
      <c r="I301" s="2">
        <f t="shared" si="30"/>
        <v>0</v>
      </c>
      <c r="J301" s="2">
        <f t="shared" si="31"/>
        <v>1</v>
      </c>
      <c r="K301" s="2">
        <f t="shared" si="32"/>
        <v>0</v>
      </c>
      <c r="L301" s="2">
        <f t="shared" si="33"/>
        <v>0</v>
      </c>
      <c r="M301" s="2">
        <f t="shared" si="34"/>
        <v>0</v>
      </c>
    </row>
    <row r="302" spans="1:13" x14ac:dyDescent="0.3">
      <c r="A302" s="2" t="s">
        <v>795</v>
      </c>
      <c r="B302" s="2" t="s">
        <v>574</v>
      </c>
      <c r="C302" s="2" t="s">
        <v>249</v>
      </c>
      <c r="D302" s="2" t="s">
        <v>1116</v>
      </c>
      <c r="E302" s="2" t="s">
        <v>1121</v>
      </c>
      <c r="F302" s="2"/>
      <c r="G302" s="2">
        <f t="shared" si="28"/>
        <v>0</v>
      </c>
      <c r="H302" s="2">
        <f t="shared" si="29"/>
        <v>0</v>
      </c>
      <c r="I302" s="2">
        <f t="shared" si="30"/>
        <v>0</v>
      </c>
      <c r="J302" s="2">
        <f t="shared" si="31"/>
        <v>0</v>
      </c>
      <c r="K302" s="2">
        <f t="shared" si="32"/>
        <v>1</v>
      </c>
      <c r="L302" s="2">
        <f t="shared" si="33"/>
        <v>0</v>
      </c>
      <c r="M302" s="2">
        <f t="shared" si="34"/>
        <v>0</v>
      </c>
    </row>
    <row r="303" spans="1:13" x14ac:dyDescent="0.3">
      <c r="A303" s="2" t="s">
        <v>176</v>
      </c>
      <c r="B303" s="2" t="s">
        <v>536</v>
      </c>
      <c r="C303" s="2" t="s">
        <v>275</v>
      </c>
      <c r="D303" s="2" t="s">
        <v>1119</v>
      </c>
      <c r="E303" s="2" t="s">
        <v>1117</v>
      </c>
      <c r="F303" s="2"/>
      <c r="G303" s="2">
        <f t="shared" si="28"/>
        <v>0</v>
      </c>
      <c r="H303" s="2">
        <f t="shared" si="29"/>
        <v>0</v>
      </c>
      <c r="I303" s="2">
        <f t="shared" si="30"/>
        <v>0</v>
      </c>
      <c r="J303" s="2">
        <f t="shared" si="31"/>
        <v>0</v>
      </c>
      <c r="K303" s="2">
        <f t="shared" si="32"/>
        <v>0</v>
      </c>
      <c r="L303" s="2">
        <f t="shared" si="33"/>
        <v>0</v>
      </c>
      <c r="M303" s="2">
        <f t="shared" si="34"/>
        <v>0</v>
      </c>
    </row>
    <row r="304" spans="1:13" x14ac:dyDescent="0.3">
      <c r="A304" s="2" t="s">
        <v>225</v>
      </c>
      <c r="B304" s="2" t="s">
        <v>545</v>
      </c>
      <c r="C304" s="2" t="s">
        <v>241</v>
      </c>
      <c r="D304" s="2" t="s">
        <v>1116</v>
      </c>
      <c r="E304" s="2"/>
      <c r="F304" s="2"/>
      <c r="G304" s="2">
        <f t="shared" si="28"/>
        <v>0</v>
      </c>
      <c r="H304" s="2">
        <f t="shared" si="29"/>
        <v>0</v>
      </c>
      <c r="I304" s="2">
        <f t="shared" si="30"/>
        <v>0</v>
      </c>
      <c r="J304" s="2">
        <f t="shared" si="31"/>
        <v>1</v>
      </c>
      <c r="K304" s="2">
        <f t="shared" si="32"/>
        <v>1</v>
      </c>
      <c r="L304" s="2">
        <f t="shared" si="33"/>
        <v>0</v>
      </c>
      <c r="M304" s="2">
        <f t="shared" si="34"/>
        <v>0</v>
      </c>
    </row>
    <row r="305" spans="1:13" x14ac:dyDescent="0.3">
      <c r="A305" s="2" t="s">
        <v>756</v>
      </c>
      <c r="B305" s="2" t="s">
        <v>598</v>
      </c>
      <c r="C305" s="2" t="s">
        <v>241</v>
      </c>
      <c r="D305" s="2" t="s">
        <v>1116</v>
      </c>
      <c r="E305" s="2" t="s">
        <v>1120</v>
      </c>
      <c r="F305" s="2"/>
      <c r="G305" s="2">
        <f t="shared" si="28"/>
        <v>0</v>
      </c>
      <c r="H305" s="2">
        <f t="shared" si="29"/>
        <v>0</v>
      </c>
      <c r="I305" s="2">
        <f t="shared" si="30"/>
        <v>0</v>
      </c>
      <c r="J305" s="2">
        <f t="shared" si="31"/>
        <v>1</v>
      </c>
      <c r="K305" s="2">
        <f t="shared" si="32"/>
        <v>1</v>
      </c>
      <c r="L305" s="2">
        <f t="shared" si="33"/>
        <v>0</v>
      </c>
      <c r="M305" s="2">
        <f t="shared" si="34"/>
        <v>0</v>
      </c>
    </row>
    <row r="306" spans="1:13" x14ac:dyDescent="0.3">
      <c r="A306" s="2" t="s">
        <v>932</v>
      </c>
      <c r="B306" s="2" t="s">
        <v>584</v>
      </c>
      <c r="C306" s="2" t="s">
        <v>262</v>
      </c>
      <c r="D306" s="2" t="s">
        <v>1117</v>
      </c>
      <c r="E306" s="2" t="s">
        <v>1116</v>
      </c>
      <c r="F306" s="2"/>
      <c r="G306" s="2">
        <f t="shared" si="28"/>
        <v>0</v>
      </c>
      <c r="H306" s="2">
        <f t="shared" si="29"/>
        <v>0</v>
      </c>
      <c r="I306" s="2">
        <f t="shared" si="30"/>
        <v>0</v>
      </c>
      <c r="J306" s="2">
        <f t="shared" si="31"/>
        <v>0</v>
      </c>
      <c r="K306" s="2">
        <f t="shared" si="32"/>
        <v>1</v>
      </c>
      <c r="L306" s="2">
        <f t="shared" si="33"/>
        <v>0</v>
      </c>
      <c r="M306" s="2">
        <f t="shared" si="34"/>
        <v>1</v>
      </c>
    </row>
    <row r="307" spans="1:13" x14ac:dyDescent="0.3">
      <c r="A307" s="2" t="s">
        <v>751</v>
      </c>
      <c r="B307" s="2" t="s">
        <v>560</v>
      </c>
      <c r="C307" s="2" t="s">
        <v>262</v>
      </c>
      <c r="D307" s="2" t="s">
        <v>1119</v>
      </c>
      <c r="E307" s="2" t="s">
        <v>1118</v>
      </c>
      <c r="F307" s="2"/>
      <c r="G307" s="2">
        <f t="shared" si="28"/>
        <v>0</v>
      </c>
      <c r="H307" s="2">
        <f t="shared" si="29"/>
        <v>0</v>
      </c>
      <c r="I307" s="2">
        <f t="shared" si="30"/>
        <v>0</v>
      </c>
      <c r="J307" s="2">
        <f t="shared" si="31"/>
        <v>0</v>
      </c>
      <c r="K307" s="2">
        <f t="shared" si="32"/>
        <v>0</v>
      </c>
      <c r="L307" s="2">
        <f t="shared" si="33"/>
        <v>0</v>
      </c>
      <c r="M307" s="2">
        <f t="shared" si="34"/>
        <v>1</v>
      </c>
    </row>
    <row r="308" spans="1:13" x14ac:dyDescent="0.3">
      <c r="A308" s="2" t="s">
        <v>739</v>
      </c>
      <c r="B308" s="2" t="s">
        <v>538</v>
      </c>
      <c r="C308" s="2" t="s">
        <v>251</v>
      </c>
      <c r="D308" s="2" t="s">
        <v>1120</v>
      </c>
      <c r="E308" s="2" t="s">
        <v>1118</v>
      </c>
      <c r="F308" s="2" t="s">
        <v>1117</v>
      </c>
      <c r="G308" s="2">
        <f t="shared" si="28"/>
        <v>0</v>
      </c>
      <c r="H308" s="2">
        <f t="shared" si="29"/>
        <v>0</v>
      </c>
      <c r="I308" s="2">
        <f t="shared" si="30"/>
        <v>1</v>
      </c>
      <c r="J308" s="2">
        <f t="shared" si="31"/>
        <v>0</v>
      </c>
      <c r="K308" s="2">
        <f t="shared" si="32"/>
        <v>0</v>
      </c>
      <c r="L308" s="2">
        <f t="shared" si="33"/>
        <v>0</v>
      </c>
      <c r="M308" s="2">
        <f t="shared" si="34"/>
        <v>0</v>
      </c>
    </row>
    <row r="309" spans="1:13" x14ac:dyDescent="0.3">
      <c r="A309" s="2" t="s">
        <v>665</v>
      </c>
      <c r="B309" s="2" t="s">
        <v>550</v>
      </c>
      <c r="C309" s="2" t="s">
        <v>251</v>
      </c>
      <c r="D309" s="2" t="s">
        <v>1120</v>
      </c>
      <c r="E309" s="2"/>
      <c r="F309" s="2"/>
      <c r="G309" s="2">
        <f t="shared" si="28"/>
        <v>0</v>
      </c>
      <c r="H309" s="2">
        <f t="shared" si="29"/>
        <v>0</v>
      </c>
      <c r="I309" s="2">
        <f t="shared" si="30"/>
        <v>1</v>
      </c>
      <c r="J309" s="2">
        <f t="shared" si="31"/>
        <v>0</v>
      </c>
      <c r="K309" s="2">
        <f t="shared" si="32"/>
        <v>0</v>
      </c>
      <c r="L309" s="2">
        <f t="shared" si="33"/>
        <v>0</v>
      </c>
      <c r="M309" s="2">
        <f t="shared" si="34"/>
        <v>0</v>
      </c>
    </row>
    <row r="310" spans="1:13" x14ac:dyDescent="0.3">
      <c r="A310" s="2" t="s">
        <v>695</v>
      </c>
      <c r="B310" s="2" t="s">
        <v>639</v>
      </c>
      <c r="C310" s="2" t="s">
        <v>275</v>
      </c>
      <c r="D310" s="2" t="s">
        <v>1119</v>
      </c>
      <c r="E310" s="2"/>
      <c r="F310" s="2"/>
      <c r="G310" s="2">
        <f t="shared" si="28"/>
        <v>0</v>
      </c>
      <c r="H310" s="2">
        <f t="shared" si="29"/>
        <v>0</v>
      </c>
      <c r="I310" s="2">
        <f t="shared" si="30"/>
        <v>0</v>
      </c>
      <c r="J310" s="2">
        <f t="shared" si="31"/>
        <v>0</v>
      </c>
      <c r="K310" s="2">
        <f t="shared" si="32"/>
        <v>0</v>
      </c>
      <c r="L310" s="2">
        <f t="shared" si="33"/>
        <v>0</v>
      </c>
      <c r="M310" s="2">
        <f t="shared" si="34"/>
        <v>0</v>
      </c>
    </row>
    <row r="311" spans="1:13" x14ac:dyDescent="0.3">
      <c r="A311" s="2" t="s">
        <v>829</v>
      </c>
      <c r="B311" s="2" t="s">
        <v>587</v>
      </c>
      <c r="C311" s="2" t="s">
        <v>251</v>
      </c>
      <c r="D311" s="2" t="s">
        <v>1116</v>
      </c>
      <c r="E311" s="2"/>
      <c r="F311" s="2"/>
      <c r="G311" s="2">
        <f t="shared" si="28"/>
        <v>0</v>
      </c>
      <c r="H311" s="2">
        <f t="shared" si="29"/>
        <v>0</v>
      </c>
      <c r="I311" s="2">
        <f t="shared" si="30"/>
        <v>1</v>
      </c>
      <c r="J311" s="2">
        <f t="shared" si="31"/>
        <v>0</v>
      </c>
      <c r="K311" s="2">
        <f t="shared" si="32"/>
        <v>1</v>
      </c>
      <c r="L311" s="2">
        <f t="shared" si="33"/>
        <v>0</v>
      </c>
      <c r="M311" s="2">
        <f t="shared" si="34"/>
        <v>0</v>
      </c>
    </row>
    <row r="312" spans="1:13" x14ac:dyDescent="0.3">
      <c r="A312" s="2" t="s">
        <v>669</v>
      </c>
      <c r="B312" s="2" t="s">
        <v>640</v>
      </c>
      <c r="C312" s="2" t="s">
        <v>249</v>
      </c>
      <c r="D312" s="2" t="s">
        <v>1116</v>
      </c>
      <c r="E312" s="2" t="s">
        <v>1120</v>
      </c>
      <c r="F312" s="2"/>
      <c r="G312" s="2">
        <f t="shared" si="28"/>
        <v>0</v>
      </c>
      <c r="H312" s="2">
        <f t="shared" si="29"/>
        <v>0</v>
      </c>
      <c r="I312" s="2">
        <f t="shared" si="30"/>
        <v>0</v>
      </c>
      <c r="J312" s="2">
        <f t="shared" si="31"/>
        <v>0</v>
      </c>
      <c r="K312" s="2">
        <f t="shared" si="32"/>
        <v>1</v>
      </c>
      <c r="L312" s="2">
        <f t="shared" si="33"/>
        <v>0</v>
      </c>
      <c r="M312" s="2">
        <f t="shared" si="34"/>
        <v>0</v>
      </c>
    </row>
    <row r="313" spans="1:13" x14ac:dyDescent="0.3">
      <c r="A313" s="2" t="s">
        <v>871</v>
      </c>
      <c r="B313" s="2" t="s">
        <v>558</v>
      </c>
      <c r="C313" s="2" t="s">
        <v>243</v>
      </c>
      <c r="D313" s="2" t="s">
        <v>1120</v>
      </c>
      <c r="E313" s="2"/>
      <c r="F313" s="2"/>
      <c r="G313" s="2">
        <f t="shared" si="28"/>
        <v>0</v>
      </c>
      <c r="H313" s="2">
        <f t="shared" si="29"/>
        <v>0</v>
      </c>
      <c r="I313" s="2">
        <f t="shared" si="30"/>
        <v>0</v>
      </c>
      <c r="J313" s="2">
        <f t="shared" si="31"/>
        <v>0</v>
      </c>
      <c r="K313" s="2">
        <f t="shared" si="32"/>
        <v>0</v>
      </c>
      <c r="L313" s="2">
        <f t="shared" si="33"/>
        <v>1</v>
      </c>
      <c r="M313" s="2">
        <f t="shared" si="34"/>
        <v>0</v>
      </c>
    </row>
    <row r="314" spans="1:13" x14ac:dyDescent="0.3">
      <c r="A314" s="2" t="s">
        <v>911</v>
      </c>
      <c r="B314" s="2" t="s">
        <v>641</v>
      </c>
      <c r="C314" s="2" t="s">
        <v>243</v>
      </c>
      <c r="D314" s="2" t="s">
        <v>1119</v>
      </c>
      <c r="E314" s="2"/>
      <c r="F314" s="2"/>
      <c r="G314" s="2">
        <f t="shared" si="28"/>
        <v>0</v>
      </c>
      <c r="H314" s="2">
        <f t="shared" si="29"/>
        <v>0</v>
      </c>
      <c r="I314" s="2">
        <f t="shared" si="30"/>
        <v>0</v>
      </c>
      <c r="J314" s="2">
        <f t="shared" si="31"/>
        <v>0</v>
      </c>
      <c r="K314" s="2">
        <f t="shared" si="32"/>
        <v>0</v>
      </c>
      <c r="L314" s="2">
        <f t="shared" si="33"/>
        <v>1</v>
      </c>
      <c r="M314" s="2">
        <f t="shared" si="34"/>
        <v>0</v>
      </c>
    </row>
    <row r="315" spans="1:13" x14ac:dyDescent="0.3">
      <c r="A315" s="2" t="s">
        <v>785</v>
      </c>
      <c r="B315" s="2" t="s">
        <v>559</v>
      </c>
      <c r="C315" s="2" t="s">
        <v>241</v>
      </c>
      <c r="D315" s="2"/>
      <c r="E315" s="2"/>
      <c r="F315" s="2"/>
      <c r="G315" s="2">
        <f t="shared" si="28"/>
        <v>0</v>
      </c>
      <c r="H315" s="2">
        <f t="shared" si="29"/>
        <v>0</v>
      </c>
      <c r="I315" s="2">
        <f t="shared" si="30"/>
        <v>0</v>
      </c>
      <c r="J315" s="2">
        <f t="shared" si="31"/>
        <v>1</v>
      </c>
      <c r="K315" s="2">
        <f t="shared" si="32"/>
        <v>0</v>
      </c>
      <c r="L315" s="2">
        <f t="shared" si="33"/>
        <v>0</v>
      </c>
      <c r="M315" s="2">
        <f t="shared" si="34"/>
        <v>0</v>
      </c>
    </row>
    <row r="316" spans="1:13" x14ac:dyDescent="0.3">
      <c r="A316" s="2" t="s">
        <v>707</v>
      </c>
      <c r="B316" s="2" t="s">
        <v>614</v>
      </c>
      <c r="C316" s="2" t="s">
        <v>243</v>
      </c>
      <c r="D316" s="2"/>
      <c r="E316" s="2"/>
      <c r="F316" s="2"/>
      <c r="G316" s="2">
        <f t="shared" si="28"/>
        <v>0</v>
      </c>
      <c r="H316" s="2">
        <f t="shared" si="29"/>
        <v>0</v>
      </c>
      <c r="I316" s="2">
        <f t="shared" si="30"/>
        <v>0</v>
      </c>
      <c r="J316" s="2">
        <f t="shared" si="31"/>
        <v>0</v>
      </c>
      <c r="K316" s="2">
        <f t="shared" si="32"/>
        <v>0</v>
      </c>
      <c r="L316" s="2">
        <f t="shared" si="33"/>
        <v>1</v>
      </c>
      <c r="M316" s="2">
        <f t="shared" si="34"/>
        <v>0</v>
      </c>
    </row>
    <row r="317" spans="1:13" x14ac:dyDescent="0.3">
      <c r="A317" s="2" t="s">
        <v>142</v>
      </c>
      <c r="B317" s="2" t="s">
        <v>642</v>
      </c>
      <c r="C317" s="2" t="s">
        <v>275</v>
      </c>
      <c r="D317" s="2" t="s">
        <v>1115</v>
      </c>
      <c r="E317" s="2"/>
      <c r="F317" s="2"/>
      <c r="G317" s="2">
        <f t="shared" si="28"/>
        <v>0</v>
      </c>
      <c r="H317" s="2">
        <f t="shared" si="29"/>
        <v>1</v>
      </c>
      <c r="I317" s="2">
        <f t="shared" si="30"/>
        <v>0</v>
      </c>
      <c r="J317" s="2">
        <f t="shared" si="31"/>
        <v>0</v>
      </c>
      <c r="K317" s="2">
        <f t="shared" si="32"/>
        <v>0</v>
      </c>
      <c r="L317" s="2">
        <f t="shared" si="33"/>
        <v>0</v>
      </c>
      <c r="M317" s="2">
        <f t="shared" si="34"/>
        <v>0</v>
      </c>
    </row>
    <row r="318" spans="1:13" x14ac:dyDescent="0.3">
      <c r="A318" s="2" t="s">
        <v>1111</v>
      </c>
      <c r="B318" s="2" t="s">
        <v>643</v>
      </c>
      <c r="C318" s="2" t="s">
        <v>275</v>
      </c>
      <c r="D318" s="2" t="s">
        <v>1118</v>
      </c>
      <c r="E318" s="2" t="s">
        <v>1121</v>
      </c>
      <c r="F318" s="2"/>
      <c r="G318" s="2">
        <f t="shared" si="28"/>
        <v>0</v>
      </c>
      <c r="H318" s="2">
        <f t="shared" si="29"/>
        <v>0</v>
      </c>
      <c r="I318" s="2">
        <f t="shared" si="30"/>
        <v>0</v>
      </c>
      <c r="J318" s="2">
        <f t="shared" si="31"/>
        <v>0</v>
      </c>
      <c r="K318" s="2">
        <f t="shared" si="32"/>
        <v>0</v>
      </c>
      <c r="L318" s="2">
        <f t="shared" si="33"/>
        <v>0</v>
      </c>
      <c r="M318" s="2">
        <f t="shared" si="34"/>
        <v>0</v>
      </c>
    </row>
    <row r="319" spans="1:13" x14ac:dyDescent="0.3">
      <c r="A319" s="2" t="s">
        <v>1108</v>
      </c>
      <c r="B319" s="2" t="s">
        <v>528</v>
      </c>
      <c r="C319" s="2" t="s">
        <v>251</v>
      </c>
      <c r="D319" s="2" t="s">
        <v>1115</v>
      </c>
      <c r="E319" s="2" t="s">
        <v>1116</v>
      </c>
      <c r="F319" s="2" t="s">
        <v>1121</v>
      </c>
      <c r="G319" s="2">
        <f t="shared" si="28"/>
        <v>0</v>
      </c>
      <c r="H319" s="2">
        <f t="shared" si="29"/>
        <v>1</v>
      </c>
      <c r="I319" s="2">
        <f t="shared" si="30"/>
        <v>1</v>
      </c>
      <c r="J319" s="2">
        <f t="shared" si="31"/>
        <v>0</v>
      </c>
      <c r="K319" s="2">
        <f t="shared" si="32"/>
        <v>1</v>
      </c>
      <c r="L319" s="2">
        <f t="shared" si="33"/>
        <v>0</v>
      </c>
      <c r="M319" s="2">
        <f t="shared" si="34"/>
        <v>0</v>
      </c>
    </row>
    <row r="320" spans="1:13" x14ac:dyDescent="0.3">
      <c r="A320" s="2" t="s">
        <v>183</v>
      </c>
      <c r="B320" s="2" t="s">
        <v>612</v>
      </c>
      <c r="C320" s="2" t="s">
        <v>249</v>
      </c>
      <c r="D320" s="2"/>
      <c r="E320" s="2"/>
      <c r="F320" s="2"/>
      <c r="G320" s="2">
        <f t="shared" si="28"/>
        <v>0</v>
      </c>
      <c r="H320" s="2">
        <f t="shared" si="29"/>
        <v>0</v>
      </c>
      <c r="I320" s="2">
        <f t="shared" si="30"/>
        <v>0</v>
      </c>
      <c r="J320" s="2">
        <f t="shared" si="31"/>
        <v>0</v>
      </c>
      <c r="K320" s="2">
        <f t="shared" si="32"/>
        <v>0</v>
      </c>
      <c r="L320" s="2">
        <f t="shared" si="33"/>
        <v>0</v>
      </c>
      <c r="M320" s="2">
        <f t="shared" si="34"/>
        <v>0</v>
      </c>
    </row>
    <row r="321" spans="1:13" x14ac:dyDescent="0.3">
      <c r="A321" s="2" t="s">
        <v>186</v>
      </c>
      <c r="B321" s="2" t="s">
        <v>622</v>
      </c>
      <c r="C321" s="2" t="s">
        <v>241</v>
      </c>
      <c r="D321" s="2"/>
      <c r="E321" s="2"/>
      <c r="F321" s="2"/>
      <c r="G321" s="2">
        <f t="shared" si="28"/>
        <v>0</v>
      </c>
      <c r="H321" s="2">
        <f t="shared" si="29"/>
        <v>0</v>
      </c>
      <c r="I321" s="2">
        <f t="shared" si="30"/>
        <v>0</v>
      </c>
      <c r="J321" s="2">
        <f t="shared" si="31"/>
        <v>1</v>
      </c>
      <c r="K321" s="2">
        <f t="shared" si="32"/>
        <v>0</v>
      </c>
      <c r="L321" s="2">
        <f t="shared" si="33"/>
        <v>0</v>
      </c>
      <c r="M321" s="2">
        <f t="shared" si="34"/>
        <v>0</v>
      </c>
    </row>
    <row r="322" spans="1:13" x14ac:dyDescent="0.3">
      <c r="A322" s="2" t="s">
        <v>755</v>
      </c>
      <c r="B322" s="2" t="s">
        <v>644</v>
      </c>
      <c r="C322" s="2" t="s">
        <v>255</v>
      </c>
      <c r="D322" s="2" t="s">
        <v>1115</v>
      </c>
      <c r="E322" s="2"/>
      <c r="F322" s="2"/>
      <c r="G322" s="2">
        <f t="shared" si="28"/>
        <v>1</v>
      </c>
      <c r="H322" s="2">
        <f t="shared" si="29"/>
        <v>1</v>
      </c>
      <c r="I322" s="2">
        <f t="shared" si="30"/>
        <v>0</v>
      </c>
      <c r="J322" s="2">
        <f t="shared" si="31"/>
        <v>0</v>
      </c>
      <c r="K322" s="2">
        <f t="shared" si="32"/>
        <v>0</v>
      </c>
      <c r="L322" s="2">
        <f t="shared" si="33"/>
        <v>0</v>
      </c>
      <c r="M322" s="2">
        <f t="shared" si="34"/>
        <v>0</v>
      </c>
    </row>
    <row r="323" spans="1:13" x14ac:dyDescent="0.3">
      <c r="A323" s="2" t="s">
        <v>683</v>
      </c>
      <c r="B323" s="2" t="s">
        <v>610</v>
      </c>
      <c r="C323" s="2" t="s">
        <v>255</v>
      </c>
      <c r="D323" s="2"/>
      <c r="E323" s="2"/>
      <c r="F323" s="2"/>
      <c r="G323" s="2">
        <f t="shared" ref="G323:G386" si="35">IF(COUNTIF(C323:F323,"Community Activities")&gt;0,1,0)</f>
        <v>1</v>
      </c>
      <c r="H323" s="2">
        <f t="shared" ref="H323:H386" si="36">IF(COUNTIF(C323:F323," Employment Assistance")&gt;0,1,0)</f>
        <v>0</v>
      </c>
      <c r="I323" s="2">
        <f t="shared" ref="I323:I386" si="37">IF(COUNTIF(C323:F323,"Housing")&gt;0,1,0)</f>
        <v>0</v>
      </c>
      <c r="J323" s="2">
        <f t="shared" ref="J323:J386" si="38">IF(COUNTIF(C323:F323,"Medical")&gt;0,1,0)</f>
        <v>0</v>
      </c>
      <c r="K323" s="2">
        <f t="shared" ref="K323:K386" si="39">IF(COUNTIF(C323:F323," Schooling")&gt;0,1,0)</f>
        <v>0</v>
      </c>
      <c r="L323" s="2">
        <f t="shared" ref="L323:L386" si="40">IF(COUNTIF(C323:F323,"Transport")&gt;0,1,0)</f>
        <v>0</v>
      </c>
      <c r="M323" s="2">
        <f t="shared" ref="M323:M386" si="41">IF(COUNTIF(C323:F323,"Canteen")&gt;0,1,0)</f>
        <v>0</v>
      </c>
    </row>
    <row r="324" spans="1:13" x14ac:dyDescent="0.3">
      <c r="A324" s="2" t="s">
        <v>854</v>
      </c>
      <c r="B324" s="2" t="s">
        <v>549</v>
      </c>
      <c r="C324" s="2" t="s">
        <v>241</v>
      </c>
      <c r="D324" s="2" t="s">
        <v>1116</v>
      </c>
      <c r="E324" s="2" t="s">
        <v>1120</v>
      </c>
      <c r="F324" s="2" t="s">
        <v>1121</v>
      </c>
      <c r="G324" s="2">
        <f t="shared" si="35"/>
        <v>0</v>
      </c>
      <c r="H324" s="2">
        <f t="shared" si="36"/>
        <v>0</v>
      </c>
      <c r="I324" s="2">
        <f t="shared" si="37"/>
        <v>0</v>
      </c>
      <c r="J324" s="2">
        <f t="shared" si="38"/>
        <v>1</v>
      </c>
      <c r="K324" s="2">
        <f t="shared" si="39"/>
        <v>1</v>
      </c>
      <c r="L324" s="2">
        <f t="shared" si="40"/>
        <v>0</v>
      </c>
      <c r="M324" s="2">
        <f t="shared" si="41"/>
        <v>0</v>
      </c>
    </row>
    <row r="325" spans="1:13" x14ac:dyDescent="0.3">
      <c r="A325" s="2" t="s">
        <v>773</v>
      </c>
      <c r="B325" s="2" t="s">
        <v>645</v>
      </c>
      <c r="C325" s="2" t="s">
        <v>251</v>
      </c>
      <c r="D325" s="2"/>
      <c r="E325" s="2"/>
      <c r="F325" s="2"/>
      <c r="G325" s="2">
        <f t="shared" si="35"/>
        <v>0</v>
      </c>
      <c r="H325" s="2">
        <f t="shared" si="36"/>
        <v>0</v>
      </c>
      <c r="I325" s="2">
        <f t="shared" si="37"/>
        <v>1</v>
      </c>
      <c r="J325" s="2">
        <f t="shared" si="38"/>
        <v>0</v>
      </c>
      <c r="K325" s="2">
        <f t="shared" si="39"/>
        <v>0</v>
      </c>
      <c r="L325" s="2">
        <f t="shared" si="40"/>
        <v>0</v>
      </c>
      <c r="M325" s="2">
        <f t="shared" si="41"/>
        <v>0</v>
      </c>
    </row>
    <row r="326" spans="1:13" x14ac:dyDescent="0.3">
      <c r="A326" s="2" t="s">
        <v>746</v>
      </c>
      <c r="B326" s="2" t="s">
        <v>572</v>
      </c>
      <c r="C326" s="2" t="s">
        <v>241</v>
      </c>
      <c r="D326" s="2" t="s">
        <v>1117</v>
      </c>
      <c r="E326" s="2" t="s">
        <v>1116</v>
      </c>
      <c r="F326" s="2"/>
      <c r="G326" s="2">
        <f t="shared" si="35"/>
        <v>0</v>
      </c>
      <c r="H326" s="2">
        <f t="shared" si="36"/>
        <v>0</v>
      </c>
      <c r="I326" s="2">
        <f t="shared" si="37"/>
        <v>0</v>
      </c>
      <c r="J326" s="2">
        <f t="shared" si="38"/>
        <v>1</v>
      </c>
      <c r="K326" s="2">
        <f t="shared" si="39"/>
        <v>1</v>
      </c>
      <c r="L326" s="2">
        <f t="shared" si="40"/>
        <v>0</v>
      </c>
      <c r="M326" s="2">
        <f t="shared" si="41"/>
        <v>0</v>
      </c>
    </row>
    <row r="327" spans="1:13" x14ac:dyDescent="0.3">
      <c r="A327" s="2" t="s">
        <v>1112</v>
      </c>
      <c r="B327" s="2" t="s">
        <v>571</v>
      </c>
      <c r="C327" s="2" t="s">
        <v>249</v>
      </c>
      <c r="D327" s="2"/>
      <c r="E327" s="2"/>
      <c r="F327" s="2"/>
      <c r="G327" s="2">
        <f t="shared" si="35"/>
        <v>0</v>
      </c>
      <c r="H327" s="2">
        <f t="shared" si="36"/>
        <v>0</v>
      </c>
      <c r="I327" s="2">
        <f t="shared" si="37"/>
        <v>0</v>
      </c>
      <c r="J327" s="2">
        <f t="shared" si="38"/>
        <v>0</v>
      </c>
      <c r="K327" s="2">
        <f t="shared" si="39"/>
        <v>0</v>
      </c>
      <c r="L327" s="2">
        <f t="shared" si="40"/>
        <v>0</v>
      </c>
      <c r="M327" s="2">
        <f t="shared" si="41"/>
        <v>0</v>
      </c>
    </row>
    <row r="328" spans="1:13" x14ac:dyDescent="0.3">
      <c r="A328" s="2" t="s">
        <v>198</v>
      </c>
      <c r="B328" s="2" t="s">
        <v>529</v>
      </c>
      <c r="C328" s="2" t="s">
        <v>262</v>
      </c>
      <c r="D328" s="2" t="s">
        <v>1121</v>
      </c>
      <c r="E328" s="2"/>
      <c r="F328" s="2"/>
      <c r="G328" s="2">
        <f t="shared" si="35"/>
        <v>0</v>
      </c>
      <c r="H328" s="2">
        <f t="shared" si="36"/>
        <v>0</v>
      </c>
      <c r="I328" s="2">
        <f t="shared" si="37"/>
        <v>0</v>
      </c>
      <c r="J328" s="2">
        <f t="shared" si="38"/>
        <v>0</v>
      </c>
      <c r="K328" s="2">
        <f t="shared" si="39"/>
        <v>0</v>
      </c>
      <c r="L328" s="2">
        <f t="shared" si="40"/>
        <v>0</v>
      </c>
      <c r="M328" s="2">
        <f t="shared" si="41"/>
        <v>1</v>
      </c>
    </row>
    <row r="329" spans="1:13" x14ac:dyDescent="0.3">
      <c r="A329" s="2" t="s">
        <v>193</v>
      </c>
      <c r="B329" s="2" t="s">
        <v>601</v>
      </c>
      <c r="C329" s="2" t="s">
        <v>275</v>
      </c>
      <c r="D329" s="2" t="s">
        <v>1118</v>
      </c>
      <c r="E329" s="2" t="s">
        <v>1119</v>
      </c>
      <c r="F329" s="2" t="s">
        <v>1120</v>
      </c>
      <c r="G329" s="2">
        <f t="shared" si="35"/>
        <v>0</v>
      </c>
      <c r="H329" s="2">
        <f t="shared" si="36"/>
        <v>0</v>
      </c>
      <c r="I329" s="2">
        <f t="shared" si="37"/>
        <v>0</v>
      </c>
      <c r="J329" s="2">
        <f t="shared" si="38"/>
        <v>0</v>
      </c>
      <c r="K329" s="2">
        <f t="shared" si="39"/>
        <v>0</v>
      </c>
      <c r="L329" s="2">
        <f t="shared" si="40"/>
        <v>0</v>
      </c>
      <c r="M329" s="2">
        <f t="shared" si="41"/>
        <v>0</v>
      </c>
    </row>
    <row r="330" spans="1:13" x14ac:dyDescent="0.3">
      <c r="A330" s="2" t="s">
        <v>899</v>
      </c>
      <c r="B330" s="2" t="s">
        <v>618</v>
      </c>
      <c r="C330" s="2" t="s">
        <v>262</v>
      </c>
      <c r="D330" s="2" t="s">
        <v>1117</v>
      </c>
      <c r="E330" s="2" t="s">
        <v>1119</v>
      </c>
      <c r="F330" s="2"/>
      <c r="G330" s="2">
        <f t="shared" si="35"/>
        <v>0</v>
      </c>
      <c r="H330" s="2">
        <f t="shared" si="36"/>
        <v>0</v>
      </c>
      <c r="I330" s="2">
        <f t="shared" si="37"/>
        <v>0</v>
      </c>
      <c r="J330" s="2">
        <f t="shared" si="38"/>
        <v>0</v>
      </c>
      <c r="K330" s="2">
        <f t="shared" si="39"/>
        <v>0</v>
      </c>
      <c r="L330" s="2">
        <f t="shared" si="40"/>
        <v>0</v>
      </c>
      <c r="M330" s="2">
        <f t="shared" si="41"/>
        <v>1</v>
      </c>
    </row>
    <row r="331" spans="1:13" x14ac:dyDescent="0.3">
      <c r="A331" s="2" t="s">
        <v>187</v>
      </c>
      <c r="B331" s="2" t="s">
        <v>646</v>
      </c>
      <c r="C331" s="2" t="s">
        <v>255</v>
      </c>
      <c r="D331" s="2" t="s">
        <v>1120</v>
      </c>
      <c r="E331" s="2" t="s">
        <v>1115</v>
      </c>
      <c r="F331" s="2"/>
      <c r="G331" s="2">
        <f t="shared" si="35"/>
        <v>1</v>
      </c>
      <c r="H331" s="2">
        <f t="shared" si="36"/>
        <v>1</v>
      </c>
      <c r="I331" s="2">
        <f t="shared" si="37"/>
        <v>0</v>
      </c>
      <c r="J331" s="2">
        <f t="shared" si="38"/>
        <v>0</v>
      </c>
      <c r="K331" s="2">
        <f t="shared" si="39"/>
        <v>0</v>
      </c>
      <c r="L331" s="2">
        <f t="shared" si="40"/>
        <v>0</v>
      </c>
      <c r="M331" s="2">
        <f t="shared" si="41"/>
        <v>0</v>
      </c>
    </row>
    <row r="332" spans="1:13" x14ac:dyDescent="0.3">
      <c r="A332" s="2" t="s">
        <v>182</v>
      </c>
      <c r="B332" s="2" t="s">
        <v>647</v>
      </c>
      <c r="C332" s="2" t="s">
        <v>241</v>
      </c>
      <c r="D332" s="2" t="s">
        <v>1120</v>
      </c>
      <c r="E332" s="2" t="s">
        <v>1119</v>
      </c>
      <c r="F332" s="2" t="s">
        <v>1121</v>
      </c>
      <c r="G332" s="2">
        <f t="shared" si="35"/>
        <v>0</v>
      </c>
      <c r="H332" s="2">
        <f t="shared" si="36"/>
        <v>0</v>
      </c>
      <c r="I332" s="2">
        <f t="shared" si="37"/>
        <v>0</v>
      </c>
      <c r="J332" s="2">
        <f t="shared" si="38"/>
        <v>1</v>
      </c>
      <c r="K332" s="2">
        <f t="shared" si="39"/>
        <v>0</v>
      </c>
      <c r="L332" s="2">
        <f t="shared" si="40"/>
        <v>0</v>
      </c>
      <c r="M332" s="2">
        <f t="shared" si="41"/>
        <v>0</v>
      </c>
    </row>
    <row r="333" spans="1:13" x14ac:dyDescent="0.3">
      <c r="A333" s="2" t="s">
        <v>870</v>
      </c>
      <c r="B333" s="2" t="s">
        <v>531</v>
      </c>
      <c r="C333" s="2" t="s">
        <v>251</v>
      </c>
      <c r="D333" s="2" t="s">
        <v>1120</v>
      </c>
      <c r="E333" s="2"/>
      <c r="F333" s="2"/>
      <c r="G333" s="2">
        <f t="shared" si="35"/>
        <v>0</v>
      </c>
      <c r="H333" s="2">
        <f t="shared" si="36"/>
        <v>0</v>
      </c>
      <c r="I333" s="2">
        <f t="shared" si="37"/>
        <v>1</v>
      </c>
      <c r="J333" s="2">
        <f t="shared" si="38"/>
        <v>0</v>
      </c>
      <c r="K333" s="2">
        <f t="shared" si="39"/>
        <v>0</v>
      </c>
      <c r="L333" s="2">
        <f t="shared" si="40"/>
        <v>0</v>
      </c>
      <c r="M333" s="2">
        <f t="shared" si="41"/>
        <v>0</v>
      </c>
    </row>
    <row r="334" spans="1:13" x14ac:dyDescent="0.3">
      <c r="A334" s="2" t="s">
        <v>206</v>
      </c>
      <c r="B334" s="2" t="s">
        <v>531</v>
      </c>
      <c r="C334" s="2" t="s">
        <v>241</v>
      </c>
      <c r="D334" s="2" t="s">
        <v>1119</v>
      </c>
      <c r="E334" s="2" t="s">
        <v>1115</v>
      </c>
      <c r="F334" s="2" t="s">
        <v>1121</v>
      </c>
      <c r="G334" s="2">
        <f t="shared" si="35"/>
        <v>0</v>
      </c>
      <c r="H334" s="2">
        <f t="shared" si="36"/>
        <v>1</v>
      </c>
      <c r="I334" s="2">
        <f t="shared" si="37"/>
        <v>0</v>
      </c>
      <c r="J334" s="2">
        <f t="shared" si="38"/>
        <v>1</v>
      </c>
      <c r="K334" s="2">
        <f t="shared" si="39"/>
        <v>0</v>
      </c>
      <c r="L334" s="2">
        <f t="shared" si="40"/>
        <v>0</v>
      </c>
      <c r="M334" s="2">
        <f t="shared" si="41"/>
        <v>0</v>
      </c>
    </row>
    <row r="335" spans="1:13" x14ac:dyDescent="0.3">
      <c r="A335" s="2" t="s">
        <v>152</v>
      </c>
      <c r="B335" s="2" t="s">
        <v>587</v>
      </c>
      <c r="C335" s="2" t="s">
        <v>243</v>
      </c>
      <c r="D335" s="2" t="s">
        <v>1115</v>
      </c>
      <c r="E335" s="2"/>
      <c r="F335" s="2"/>
      <c r="G335" s="2">
        <f t="shared" si="35"/>
        <v>0</v>
      </c>
      <c r="H335" s="2">
        <f t="shared" si="36"/>
        <v>1</v>
      </c>
      <c r="I335" s="2">
        <f t="shared" si="37"/>
        <v>0</v>
      </c>
      <c r="J335" s="2">
        <f t="shared" si="38"/>
        <v>0</v>
      </c>
      <c r="K335" s="2">
        <f t="shared" si="39"/>
        <v>0</v>
      </c>
      <c r="L335" s="2">
        <f t="shared" si="40"/>
        <v>1</v>
      </c>
      <c r="M335" s="2">
        <f t="shared" si="41"/>
        <v>0</v>
      </c>
    </row>
    <row r="336" spans="1:13" x14ac:dyDescent="0.3">
      <c r="A336" s="2" t="s">
        <v>950</v>
      </c>
      <c r="B336" s="2" t="s">
        <v>599</v>
      </c>
      <c r="C336" s="2" t="s">
        <v>255</v>
      </c>
      <c r="D336" s="2" t="s">
        <v>1118</v>
      </c>
      <c r="E336" s="2" t="s">
        <v>1119</v>
      </c>
      <c r="F336" s="2" t="s">
        <v>1116</v>
      </c>
      <c r="G336" s="2">
        <f t="shared" si="35"/>
        <v>1</v>
      </c>
      <c r="H336" s="2">
        <f t="shared" si="36"/>
        <v>0</v>
      </c>
      <c r="I336" s="2">
        <f t="shared" si="37"/>
        <v>0</v>
      </c>
      <c r="J336" s="2">
        <f t="shared" si="38"/>
        <v>0</v>
      </c>
      <c r="K336" s="2">
        <f t="shared" si="39"/>
        <v>1</v>
      </c>
      <c r="L336" s="2">
        <f t="shared" si="40"/>
        <v>0</v>
      </c>
      <c r="M336" s="2">
        <f t="shared" si="41"/>
        <v>0</v>
      </c>
    </row>
    <row r="337" spans="1:13" x14ac:dyDescent="0.3">
      <c r="A337" s="2" t="s">
        <v>853</v>
      </c>
      <c r="B337" s="2" t="s">
        <v>648</v>
      </c>
      <c r="C337" s="2" t="s">
        <v>251</v>
      </c>
      <c r="D337" s="2" t="s">
        <v>1117</v>
      </c>
      <c r="E337" s="2" t="s">
        <v>1120</v>
      </c>
      <c r="F337" s="2" t="s">
        <v>1116</v>
      </c>
      <c r="G337" s="2">
        <f t="shared" si="35"/>
        <v>0</v>
      </c>
      <c r="H337" s="2">
        <f t="shared" si="36"/>
        <v>0</v>
      </c>
      <c r="I337" s="2">
        <f t="shared" si="37"/>
        <v>1</v>
      </c>
      <c r="J337" s="2">
        <f t="shared" si="38"/>
        <v>0</v>
      </c>
      <c r="K337" s="2">
        <f t="shared" si="39"/>
        <v>1</v>
      </c>
      <c r="L337" s="2">
        <f t="shared" si="40"/>
        <v>0</v>
      </c>
      <c r="M337" s="2">
        <f t="shared" si="41"/>
        <v>0</v>
      </c>
    </row>
    <row r="338" spans="1:13" x14ac:dyDescent="0.3">
      <c r="A338" s="2" t="s">
        <v>174</v>
      </c>
      <c r="B338" s="2" t="s">
        <v>649</v>
      </c>
      <c r="C338" s="2" t="s">
        <v>255</v>
      </c>
      <c r="D338" s="2" t="s">
        <v>1118</v>
      </c>
      <c r="E338" s="2" t="s">
        <v>1119</v>
      </c>
      <c r="F338" s="2" t="s">
        <v>1116</v>
      </c>
      <c r="G338" s="2">
        <f t="shared" si="35"/>
        <v>1</v>
      </c>
      <c r="H338" s="2">
        <f t="shared" si="36"/>
        <v>0</v>
      </c>
      <c r="I338" s="2">
        <f t="shared" si="37"/>
        <v>0</v>
      </c>
      <c r="J338" s="2">
        <f t="shared" si="38"/>
        <v>0</v>
      </c>
      <c r="K338" s="2">
        <f t="shared" si="39"/>
        <v>1</v>
      </c>
      <c r="L338" s="2">
        <f t="shared" si="40"/>
        <v>0</v>
      </c>
      <c r="M338" s="2">
        <f t="shared" si="41"/>
        <v>0</v>
      </c>
    </row>
    <row r="339" spans="1:13" x14ac:dyDescent="0.3">
      <c r="A339" s="2" t="s">
        <v>818</v>
      </c>
      <c r="B339" s="2" t="s">
        <v>650</v>
      </c>
      <c r="C339" s="2" t="s">
        <v>255</v>
      </c>
      <c r="D339" s="2" t="s">
        <v>1118</v>
      </c>
      <c r="E339" s="2" t="s">
        <v>1115</v>
      </c>
      <c r="F339" s="2" t="s">
        <v>1117</v>
      </c>
      <c r="G339" s="2">
        <f t="shared" si="35"/>
        <v>1</v>
      </c>
      <c r="H339" s="2">
        <f t="shared" si="36"/>
        <v>1</v>
      </c>
      <c r="I339" s="2">
        <f t="shared" si="37"/>
        <v>0</v>
      </c>
      <c r="J339" s="2">
        <f t="shared" si="38"/>
        <v>0</v>
      </c>
      <c r="K339" s="2">
        <f t="shared" si="39"/>
        <v>0</v>
      </c>
      <c r="L339" s="2">
        <f t="shared" si="40"/>
        <v>0</v>
      </c>
      <c r="M339" s="2">
        <f t="shared" si="41"/>
        <v>0</v>
      </c>
    </row>
    <row r="340" spans="1:13" x14ac:dyDescent="0.3">
      <c r="A340" s="2" t="s">
        <v>211</v>
      </c>
      <c r="B340" s="2" t="s">
        <v>630</v>
      </c>
      <c r="C340" s="2" t="s">
        <v>243</v>
      </c>
      <c r="D340" s="2" t="s">
        <v>1116</v>
      </c>
      <c r="E340" s="2" t="s">
        <v>1115</v>
      </c>
      <c r="F340" s="2" t="s">
        <v>1119</v>
      </c>
      <c r="G340" s="2">
        <f t="shared" si="35"/>
        <v>0</v>
      </c>
      <c r="H340" s="2">
        <f t="shared" si="36"/>
        <v>1</v>
      </c>
      <c r="I340" s="2">
        <f t="shared" si="37"/>
        <v>0</v>
      </c>
      <c r="J340" s="2">
        <f t="shared" si="38"/>
        <v>0</v>
      </c>
      <c r="K340" s="2">
        <f t="shared" si="39"/>
        <v>1</v>
      </c>
      <c r="L340" s="2">
        <f t="shared" si="40"/>
        <v>1</v>
      </c>
      <c r="M340" s="2">
        <f t="shared" si="41"/>
        <v>0</v>
      </c>
    </row>
    <row r="341" spans="1:13" x14ac:dyDescent="0.3">
      <c r="A341" s="2" t="s">
        <v>769</v>
      </c>
      <c r="B341" s="2" t="s">
        <v>564</v>
      </c>
      <c r="C341" s="2" t="s">
        <v>241</v>
      </c>
      <c r="D341" s="2"/>
      <c r="E341" s="2"/>
      <c r="F341" s="2"/>
      <c r="G341" s="2">
        <f t="shared" si="35"/>
        <v>0</v>
      </c>
      <c r="H341" s="2">
        <f t="shared" si="36"/>
        <v>0</v>
      </c>
      <c r="I341" s="2">
        <f t="shared" si="37"/>
        <v>0</v>
      </c>
      <c r="J341" s="2">
        <f t="shared" si="38"/>
        <v>1</v>
      </c>
      <c r="K341" s="2">
        <f t="shared" si="39"/>
        <v>0</v>
      </c>
      <c r="L341" s="2">
        <f t="shared" si="40"/>
        <v>0</v>
      </c>
      <c r="M341" s="2">
        <f t="shared" si="41"/>
        <v>0</v>
      </c>
    </row>
    <row r="342" spans="1:13" x14ac:dyDescent="0.3">
      <c r="A342" s="2" t="s">
        <v>711</v>
      </c>
      <c r="B342" s="2" t="s">
        <v>531</v>
      </c>
      <c r="C342" s="2" t="s">
        <v>255</v>
      </c>
      <c r="D342" s="2" t="s">
        <v>1119</v>
      </c>
      <c r="E342" s="2" t="s">
        <v>1120</v>
      </c>
      <c r="F342" s="2"/>
      <c r="G342" s="2">
        <f t="shared" si="35"/>
        <v>1</v>
      </c>
      <c r="H342" s="2">
        <f t="shared" si="36"/>
        <v>0</v>
      </c>
      <c r="I342" s="2">
        <f t="shared" si="37"/>
        <v>0</v>
      </c>
      <c r="J342" s="2">
        <f t="shared" si="38"/>
        <v>0</v>
      </c>
      <c r="K342" s="2">
        <f t="shared" si="39"/>
        <v>0</v>
      </c>
      <c r="L342" s="2">
        <f t="shared" si="40"/>
        <v>0</v>
      </c>
      <c r="M342" s="2">
        <f t="shared" si="41"/>
        <v>0</v>
      </c>
    </row>
    <row r="343" spans="1:13" x14ac:dyDescent="0.3">
      <c r="A343" s="2" t="s">
        <v>153</v>
      </c>
      <c r="B343" s="2" t="s">
        <v>651</v>
      </c>
      <c r="C343" s="2" t="s">
        <v>262</v>
      </c>
      <c r="D343" s="2" t="s">
        <v>1116</v>
      </c>
      <c r="E343" s="2" t="s">
        <v>1115</v>
      </c>
      <c r="F343" s="2" t="s">
        <v>1117</v>
      </c>
      <c r="G343" s="2">
        <f t="shared" si="35"/>
        <v>0</v>
      </c>
      <c r="H343" s="2">
        <f t="shared" si="36"/>
        <v>1</v>
      </c>
      <c r="I343" s="2">
        <f t="shared" si="37"/>
        <v>0</v>
      </c>
      <c r="J343" s="2">
        <f t="shared" si="38"/>
        <v>0</v>
      </c>
      <c r="K343" s="2">
        <f t="shared" si="39"/>
        <v>1</v>
      </c>
      <c r="L343" s="2">
        <f t="shared" si="40"/>
        <v>0</v>
      </c>
      <c r="M343" s="2">
        <f t="shared" si="41"/>
        <v>1</v>
      </c>
    </row>
    <row r="344" spans="1:13" x14ac:dyDescent="0.3">
      <c r="A344" s="2" t="s">
        <v>939</v>
      </c>
      <c r="B344" s="2" t="s">
        <v>578</v>
      </c>
      <c r="C344" s="2" t="s">
        <v>262</v>
      </c>
      <c r="D344" s="2" t="s">
        <v>1117</v>
      </c>
      <c r="E344" s="2" t="s">
        <v>1121</v>
      </c>
      <c r="F344" s="2" t="s">
        <v>1115</v>
      </c>
      <c r="G344" s="2">
        <f t="shared" si="35"/>
        <v>0</v>
      </c>
      <c r="H344" s="2">
        <f t="shared" si="36"/>
        <v>1</v>
      </c>
      <c r="I344" s="2">
        <f t="shared" si="37"/>
        <v>0</v>
      </c>
      <c r="J344" s="2">
        <f t="shared" si="38"/>
        <v>0</v>
      </c>
      <c r="K344" s="2">
        <f t="shared" si="39"/>
        <v>0</v>
      </c>
      <c r="L344" s="2">
        <f t="shared" si="40"/>
        <v>0</v>
      </c>
      <c r="M344" s="2">
        <f t="shared" si="41"/>
        <v>1</v>
      </c>
    </row>
    <row r="345" spans="1:13" x14ac:dyDescent="0.3">
      <c r="A345" s="2" t="s">
        <v>902</v>
      </c>
      <c r="B345" s="2" t="s">
        <v>651</v>
      </c>
      <c r="C345" s="2" t="s">
        <v>255</v>
      </c>
      <c r="D345" s="2" t="s">
        <v>1116</v>
      </c>
      <c r="E345" s="2"/>
      <c r="F345" s="2"/>
      <c r="G345" s="2">
        <f t="shared" si="35"/>
        <v>1</v>
      </c>
      <c r="H345" s="2">
        <f t="shared" si="36"/>
        <v>0</v>
      </c>
      <c r="I345" s="2">
        <f t="shared" si="37"/>
        <v>0</v>
      </c>
      <c r="J345" s="2">
        <f t="shared" si="38"/>
        <v>0</v>
      </c>
      <c r="K345" s="2">
        <f t="shared" si="39"/>
        <v>1</v>
      </c>
      <c r="L345" s="2">
        <f t="shared" si="40"/>
        <v>0</v>
      </c>
      <c r="M345" s="2">
        <f t="shared" si="41"/>
        <v>0</v>
      </c>
    </row>
    <row r="346" spans="1:13" x14ac:dyDescent="0.3">
      <c r="A346" s="2" t="s">
        <v>874</v>
      </c>
      <c r="B346" s="2" t="s">
        <v>534</v>
      </c>
      <c r="C346" s="2" t="s">
        <v>255</v>
      </c>
      <c r="D346" s="2" t="s">
        <v>1118</v>
      </c>
      <c r="E346" s="2" t="s">
        <v>1120</v>
      </c>
      <c r="F346" s="2" t="s">
        <v>1117</v>
      </c>
      <c r="G346" s="2">
        <f t="shared" si="35"/>
        <v>1</v>
      </c>
      <c r="H346" s="2">
        <f t="shared" si="36"/>
        <v>0</v>
      </c>
      <c r="I346" s="2">
        <f t="shared" si="37"/>
        <v>0</v>
      </c>
      <c r="J346" s="2">
        <f t="shared" si="38"/>
        <v>0</v>
      </c>
      <c r="K346" s="2">
        <f t="shared" si="39"/>
        <v>0</v>
      </c>
      <c r="L346" s="2">
        <f t="shared" si="40"/>
        <v>0</v>
      </c>
      <c r="M346" s="2">
        <f t="shared" si="41"/>
        <v>0</v>
      </c>
    </row>
    <row r="347" spans="1:13" x14ac:dyDescent="0.3">
      <c r="A347" s="2" t="s">
        <v>664</v>
      </c>
      <c r="B347" s="2" t="s">
        <v>652</v>
      </c>
      <c r="C347" s="2" t="s">
        <v>275</v>
      </c>
      <c r="D347" s="2" t="s">
        <v>1115</v>
      </c>
      <c r="E347" s="2" t="s">
        <v>1118</v>
      </c>
      <c r="F347" s="2"/>
      <c r="G347" s="2">
        <f t="shared" si="35"/>
        <v>0</v>
      </c>
      <c r="H347" s="2">
        <f t="shared" si="36"/>
        <v>1</v>
      </c>
      <c r="I347" s="2">
        <f t="shared" si="37"/>
        <v>0</v>
      </c>
      <c r="J347" s="2">
        <f t="shared" si="38"/>
        <v>0</v>
      </c>
      <c r="K347" s="2">
        <f t="shared" si="39"/>
        <v>0</v>
      </c>
      <c r="L347" s="2">
        <f t="shared" si="40"/>
        <v>0</v>
      </c>
      <c r="M347" s="2">
        <f t="shared" si="41"/>
        <v>0</v>
      </c>
    </row>
    <row r="348" spans="1:13" x14ac:dyDescent="0.3">
      <c r="A348" s="2" t="s">
        <v>666</v>
      </c>
      <c r="B348" s="2" t="s">
        <v>637</v>
      </c>
      <c r="C348" s="2" t="s">
        <v>243</v>
      </c>
      <c r="D348" s="2" t="s">
        <v>1118</v>
      </c>
      <c r="E348" s="2" t="s">
        <v>1120</v>
      </c>
      <c r="F348" s="2" t="s">
        <v>1116</v>
      </c>
      <c r="G348" s="2">
        <f t="shared" si="35"/>
        <v>0</v>
      </c>
      <c r="H348" s="2">
        <f t="shared" si="36"/>
        <v>0</v>
      </c>
      <c r="I348" s="2">
        <f t="shared" si="37"/>
        <v>0</v>
      </c>
      <c r="J348" s="2">
        <f t="shared" si="38"/>
        <v>0</v>
      </c>
      <c r="K348" s="2">
        <f t="shared" si="39"/>
        <v>1</v>
      </c>
      <c r="L348" s="2">
        <f t="shared" si="40"/>
        <v>1</v>
      </c>
      <c r="M348" s="2">
        <f t="shared" si="41"/>
        <v>0</v>
      </c>
    </row>
    <row r="349" spans="1:13" x14ac:dyDescent="0.3">
      <c r="A349" s="2" t="s">
        <v>679</v>
      </c>
      <c r="B349" s="2" t="s">
        <v>584</v>
      </c>
      <c r="C349" s="2" t="s">
        <v>241</v>
      </c>
      <c r="D349" s="2" t="s">
        <v>1119</v>
      </c>
      <c r="E349" s="2"/>
      <c r="F349" s="2"/>
      <c r="G349" s="2">
        <f t="shared" si="35"/>
        <v>0</v>
      </c>
      <c r="H349" s="2">
        <f t="shared" si="36"/>
        <v>0</v>
      </c>
      <c r="I349" s="2">
        <f t="shared" si="37"/>
        <v>0</v>
      </c>
      <c r="J349" s="2">
        <f t="shared" si="38"/>
        <v>1</v>
      </c>
      <c r="K349" s="2">
        <f t="shared" si="39"/>
        <v>0</v>
      </c>
      <c r="L349" s="2">
        <f t="shared" si="40"/>
        <v>0</v>
      </c>
      <c r="M349" s="2">
        <f t="shared" si="41"/>
        <v>0</v>
      </c>
    </row>
    <row r="350" spans="1:13" x14ac:dyDescent="0.3">
      <c r="A350" s="2" t="s">
        <v>781</v>
      </c>
      <c r="B350" s="2" t="s">
        <v>615</v>
      </c>
      <c r="C350" s="2" t="s">
        <v>241</v>
      </c>
      <c r="D350" s="2" t="s">
        <v>1116</v>
      </c>
      <c r="E350" s="2" t="s">
        <v>1120</v>
      </c>
      <c r="F350" s="2" t="s">
        <v>1121</v>
      </c>
      <c r="G350" s="2">
        <f t="shared" si="35"/>
        <v>0</v>
      </c>
      <c r="H350" s="2">
        <f t="shared" si="36"/>
        <v>0</v>
      </c>
      <c r="I350" s="2">
        <f t="shared" si="37"/>
        <v>0</v>
      </c>
      <c r="J350" s="2">
        <f t="shared" si="38"/>
        <v>1</v>
      </c>
      <c r="K350" s="2">
        <f t="shared" si="39"/>
        <v>1</v>
      </c>
      <c r="L350" s="2">
        <f t="shared" si="40"/>
        <v>0</v>
      </c>
      <c r="M350" s="2">
        <f t="shared" si="41"/>
        <v>0</v>
      </c>
    </row>
    <row r="351" spans="1:13" x14ac:dyDescent="0.3">
      <c r="A351" s="2" t="s">
        <v>205</v>
      </c>
      <c r="B351" s="2" t="s">
        <v>578</v>
      </c>
      <c r="C351" s="2" t="s">
        <v>243</v>
      </c>
      <c r="D351" s="2" t="s">
        <v>1121</v>
      </c>
      <c r="E351" s="2" t="s">
        <v>1118</v>
      </c>
      <c r="F351" s="2"/>
      <c r="G351" s="2">
        <f t="shared" si="35"/>
        <v>0</v>
      </c>
      <c r="H351" s="2">
        <f t="shared" si="36"/>
        <v>0</v>
      </c>
      <c r="I351" s="2">
        <f t="shared" si="37"/>
        <v>0</v>
      </c>
      <c r="J351" s="2">
        <f t="shared" si="38"/>
        <v>0</v>
      </c>
      <c r="K351" s="2">
        <f t="shared" si="39"/>
        <v>0</v>
      </c>
      <c r="L351" s="2">
        <f t="shared" si="40"/>
        <v>1</v>
      </c>
      <c r="M351" s="2">
        <f t="shared" si="41"/>
        <v>0</v>
      </c>
    </row>
    <row r="352" spans="1:13" x14ac:dyDescent="0.3">
      <c r="A352" s="2" t="s">
        <v>158</v>
      </c>
      <c r="B352" s="2" t="s">
        <v>565</v>
      </c>
      <c r="C352" s="2" t="s">
        <v>275</v>
      </c>
      <c r="D352" s="2"/>
      <c r="E352" s="2"/>
      <c r="F352" s="2"/>
      <c r="G352" s="2">
        <f t="shared" si="35"/>
        <v>0</v>
      </c>
      <c r="H352" s="2">
        <f t="shared" si="36"/>
        <v>0</v>
      </c>
      <c r="I352" s="2">
        <f t="shared" si="37"/>
        <v>0</v>
      </c>
      <c r="J352" s="2">
        <f t="shared" si="38"/>
        <v>0</v>
      </c>
      <c r="K352" s="2">
        <f t="shared" si="39"/>
        <v>0</v>
      </c>
      <c r="L352" s="2">
        <f t="shared" si="40"/>
        <v>0</v>
      </c>
      <c r="M352" s="2">
        <f t="shared" si="41"/>
        <v>0</v>
      </c>
    </row>
    <row r="353" spans="1:13" x14ac:dyDescent="0.3">
      <c r="A353" s="2" t="s">
        <v>204</v>
      </c>
      <c r="B353" s="2" t="s">
        <v>653</v>
      </c>
      <c r="C353" s="2" t="s">
        <v>262</v>
      </c>
      <c r="D353" s="2" t="s">
        <v>1121</v>
      </c>
      <c r="E353" s="2" t="s">
        <v>1116</v>
      </c>
      <c r="F353" s="2"/>
      <c r="G353" s="2">
        <f t="shared" si="35"/>
        <v>0</v>
      </c>
      <c r="H353" s="2">
        <f t="shared" si="36"/>
        <v>0</v>
      </c>
      <c r="I353" s="2">
        <f t="shared" si="37"/>
        <v>0</v>
      </c>
      <c r="J353" s="2">
        <f t="shared" si="38"/>
        <v>0</v>
      </c>
      <c r="K353" s="2">
        <f t="shared" si="39"/>
        <v>1</v>
      </c>
      <c r="L353" s="2">
        <f t="shared" si="40"/>
        <v>0</v>
      </c>
      <c r="M353" s="2">
        <f t="shared" si="41"/>
        <v>1</v>
      </c>
    </row>
    <row r="354" spans="1:13" x14ac:dyDescent="0.3">
      <c r="A354" s="2" t="s">
        <v>866</v>
      </c>
      <c r="B354" s="2" t="s">
        <v>631</v>
      </c>
      <c r="C354" s="2" t="s">
        <v>251</v>
      </c>
      <c r="D354" s="2"/>
      <c r="E354" s="2"/>
      <c r="F354" s="2"/>
      <c r="G354" s="2">
        <f t="shared" si="35"/>
        <v>0</v>
      </c>
      <c r="H354" s="2">
        <f t="shared" si="36"/>
        <v>0</v>
      </c>
      <c r="I354" s="2">
        <f t="shared" si="37"/>
        <v>1</v>
      </c>
      <c r="J354" s="2">
        <f t="shared" si="38"/>
        <v>0</v>
      </c>
      <c r="K354" s="2">
        <f t="shared" si="39"/>
        <v>0</v>
      </c>
      <c r="L354" s="2">
        <f t="shared" si="40"/>
        <v>0</v>
      </c>
      <c r="M354" s="2">
        <f t="shared" si="41"/>
        <v>0</v>
      </c>
    </row>
    <row r="355" spans="1:13" x14ac:dyDescent="0.3">
      <c r="A355" s="2" t="s">
        <v>942</v>
      </c>
      <c r="B355" s="2" t="s">
        <v>545</v>
      </c>
      <c r="C355" s="2" t="s">
        <v>275</v>
      </c>
      <c r="D355" s="2"/>
      <c r="E355" s="2"/>
      <c r="F355" s="2"/>
      <c r="G355" s="2">
        <f t="shared" si="35"/>
        <v>0</v>
      </c>
      <c r="H355" s="2">
        <f t="shared" si="36"/>
        <v>0</v>
      </c>
      <c r="I355" s="2">
        <f t="shared" si="37"/>
        <v>0</v>
      </c>
      <c r="J355" s="2">
        <f t="shared" si="38"/>
        <v>0</v>
      </c>
      <c r="K355" s="2">
        <f t="shared" si="39"/>
        <v>0</v>
      </c>
      <c r="L355" s="2">
        <f t="shared" si="40"/>
        <v>0</v>
      </c>
      <c r="M355" s="2">
        <f t="shared" si="41"/>
        <v>0</v>
      </c>
    </row>
    <row r="356" spans="1:13" x14ac:dyDescent="0.3">
      <c r="A356" s="2" t="s">
        <v>660</v>
      </c>
      <c r="B356" s="2" t="s">
        <v>611</v>
      </c>
      <c r="C356" s="2" t="s">
        <v>255</v>
      </c>
      <c r="D356" s="2" t="s">
        <v>1117</v>
      </c>
      <c r="E356" s="2" t="s">
        <v>1115</v>
      </c>
      <c r="F356" s="2" t="s">
        <v>1119</v>
      </c>
      <c r="G356" s="2">
        <f t="shared" si="35"/>
        <v>1</v>
      </c>
      <c r="H356" s="2">
        <f t="shared" si="36"/>
        <v>1</v>
      </c>
      <c r="I356" s="2">
        <f t="shared" si="37"/>
        <v>0</v>
      </c>
      <c r="J356" s="2">
        <f t="shared" si="38"/>
        <v>0</v>
      </c>
      <c r="K356" s="2">
        <f t="shared" si="39"/>
        <v>0</v>
      </c>
      <c r="L356" s="2">
        <f t="shared" si="40"/>
        <v>0</v>
      </c>
      <c r="M356" s="2">
        <f t="shared" si="41"/>
        <v>0</v>
      </c>
    </row>
    <row r="357" spans="1:13" x14ac:dyDescent="0.3">
      <c r="A357" s="2" t="s">
        <v>223</v>
      </c>
      <c r="B357" s="2" t="s">
        <v>593</v>
      </c>
      <c r="C357" s="2" t="s">
        <v>241</v>
      </c>
      <c r="D357" s="2" t="s">
        <v>1119</v>
      </c>
      <c r="E357" s="2"/>
      <c r="F357" s="2"/>
      <c r="G357" s="2">
        <f t="shared" si="35"/>
        <v>0</v>
      </c>
      <c r="H357" s="2">
        <f t="shared" si="36"/>
        <v>0</v>
      </c>
      <c r="I357" s="2">
        <f t="shared" si="37"/>
        <v>0</v>
      </c>
      <c r="J357" s="2">
        <f t="shared" si="38"/>
        <v>1</v>
      </c>
      <c r="K357" s="2">
        <f t="shared" si="39"/>
        <v>0</v>
      </c>
      <c r="L357" s="2">
        <f t="shared" si="40"/>
        <v>0</v>
      </c>
      <c r="M357" s="2">
        <f t="shared" si="41"/>
        <v>0</v>
      </c>
    </row>
    <row r="358" spans="1:13" x14ac:dyDescent="0.3">
      <c r="A358" s="2" t="s">
        <v>833</v>
      </c>
      <c r="B358" s="2" t="s">
        <v>654</v>
      </c>
      <c r="C358" s="2" t="s">
        <v>249</v>
      </c>
      <c r="D358" s="2" t="s">
        <v>1119</v>
      </c>
      <c r="E358" s="2" t="s">
        <v>1117</v>
      </c>
      <c r="F358" s="2"/>
      <c r="G358" s="2">
        <f t="shared" si="35"/>
        <v>0</v>
      </c>
      <c r="H358" s="2">
        <f t="shared" si="36"/>
        <v>0</v>
      </c>
      <c r="I358" s="2">
        <f t="shared" si="37"/>
        <v>0</v>
      </c>
      <c r="J358" s="2">
        <f t="shared" si="38"/>
        <v>0</v>
      </c>
      <c r="K358" s="2">
        <f t="shared" si="39"/>
        <v>0</v>
      </c>
      <c r="L358" s="2">
        <f t="shared" si="40"/>
        <v>0</v>
      </c>
      <c r="M358" s="2">
        <f t="shared" si="41"/>
        <v>0</v>
      </c>
    </row>
    <row r="359" spans="1:13" x14ac:dyDescent="0.3">
      <c r="A359" s="2" t="s">
        <v>843</v>
      </c>
      <c r="B359" s="2" t="s">
        <v>557</v>
      </c>
      <c r="C359" s="2" t="s">
        <v>251</v>
      </c>
      <c r="D359" s="2" t="s">
        <v>1121</v>
      </c>
      <c r="E359" s="2"/>
      <c r="F359" s="2"/>
      <c r="G359" s="2">
        <f t="shared" si="35"/>
        <v>0</v>
      </c>
      <c r="H359" s="2">
        <f t="shared" si="36"/>
        <v>0</v>
      </c>
      <c r="I359" s="2">
        <f t="shared" si="37"/>
        <v>1</v>
      </c>
      <c r="J359" s="2">
        <f t="shared" si="38"/>
        <v>0</v>
      </c>
      <c r="K359" s="2">
        <f t="shared" si="39"/>
        <v>0</v>
      </c>
      <c r="L359" s="2">
        <f t="shared" si="40"/>
        <v>0</v>
      </c>
      <c r="M359" s="2">
        <f t="shared" si="41"/>
        <v>0</v>
      </c>
    </row>
    <row r="360" spans="1:13" x14ac:dyDescent="0.3">
      <c r="A360" s="2" t="s">
        <v>151</v>
      </c>
      <c r="B360" s="2" t="s">
        <v>655</v>
      </c>
      <c r="C360" s="2" t="s">
        <v>241</v>
      </c>
      <c r="D360" s="2" t="s">
        <v>1116</v>
      </c>
      <c r="E360" s="2"/>
      <c r="F360" s="2"/>
      <c r="G360" s="2">
        <f t="shared" si="35"/>
        <v>0</v>
      </c>
      <c r="H360" s="2">
        <f t="shared" si="36"/>
        <v>0</v>
      </c>
      <c r="I360" s="2">
        <f t="shared" si="37"/>
        <v>0</v>
      </c>
      <c r="J360" s="2">
        <f t="shared" si="38"/>
        <v>1</v>
      </c>
      <c r="K360" s="2">
        <f t="shared" si="39"/>
        <v>1</v>
      </c>
      <c r="L360" s="2">
        <f t="shared" si="40"/>
        <v>0</v>
      </c>
      <c r="M360" s="2">
        <f t="shared" si="41"/>
        <v>0</v>
      </c>
    </row>
    <row r="361" spans="1:13" x14ac:dyDescent="0.3">
      <c r="A361" s="2" t="s">
        <v>209</v>
      </c>
      <c r="B361" s="2" t="s">
        <v>638</v>
      </c>
      <c r="C361" s="2" t="s">
        <v>262</v>
      </c>
      <c r="D361" s="2" t="s">
        <v>1115</v>
      </c>
      <c r="E361" s="2"/>
      <c r="F361" s="2"/>
      <c r="G361" s="2">
        <f t="shared" si="35"/>
        <v>0</v>
      </c>
      <c r="H361" s="2">
        <f t="shared" si="36"/>
        <v>1</v>
      </c>
      <c r="I361" s="2">
        <f t="shared" si="37"/>
        <v>0</v>
      </c>
      <c r="J361" s="2">
        <f t="shared" si="38"/>
        <v>0</v>
      </c>
      <c r="K361" s="2">
        <f t="shared" si="39"/>
        <v>0</v>
      </c>
      <c r="L361" s="2">
        <f t="shared" si="40"/>
        <v>0</v>
      </c>
      <c r="M361" s="2">
        <f t="shared" si="41"/>
        <v>1</v>
      </c>
    </row>
    <row r="362" spans="1:13" x14ac:dyDescent="0.3">
      <c r="A362" s="2" t="s">
        <v>230</v>
      </c>
      <c r="B362" s="2" t="s">
        <v>648</v>
      </c>
      <c r="C362" s="2" t="s">
        <v>251</v>
      </c>
      <c r="D362" s="2" t="s">
        <v>1117</v>
      </c>
      <c r="E362" s="2" t="s">
        <v>1115</v>
      </c>
      <c r="F362" s="2" t="s">
        <v>1120</v>
      </c>
      <c r="G362" s="2">
        <f t="shared" si="35"/>
        <v>0</v>
      </c>
      <c r="H362" s="2">
        <f t="shared" si="36"/>
        <v>1</v>
      </c>
      <c r="I362" s="2">
        <f t="shared" si="37"/>
        <v>1</v>
      </c>
      <c r="J362" s="2">
        <f t="shared" si="38"/>
        <v>0</v>
      </c>
      <c r="K362" s="2">
        <f t="shared" si="39"/>
        <v>0</v>
      </c>
      <c r="L362" s="2">
        <f t="shared" si="40"/>
        <v>0</v>
      </c>
      <c r="M362" s="2">
        <f t="shared" si="41"/>
        <v>0</v>
      </c>
    </row>
    <row r="363" spans="1:13" x14ac:dyDescent="0.3">
      <c r="A363" s="2" t="s">
        <v>697</v>
      </c>
      <c r="B363" s="2" t="s">
        <v>656</v>
      </c>
      <c r="C363" s="2" t="s">
        <v>243</v>
      </c>
      <c r="D363" s="2" t="s">
        <v>1116</v>
      </c>
      <c r="E363" s="2" t="s">
        <v>1118</v>
      </c>
      <c r="F363" s="2" t="s">
        <v>1115</v>
      </c>
      <c r="G363" s="2">
        <f t="shared" si="35"/>
        <v>0</v>
      </c>
      <c r="H363" s="2">
        <f t="shared" si="36"/>
        <v>1</v>
      </c>
      <c r="I363" s="2">
        <f t="shared" si="37"/>
        <v>0</v>
      </c>
      <c r="J363" s="2">
        <f t="shared" si="38"/>
        <v>0</v>
      </c>
      <c r="K363" s="2">
        <f t="shared" si="39"/>
        <v>1</v>
      </c>
      <c r="L363" s="2">
        <f t="shared" si="40"/>
        <v>1</v>
      </c>
      <c r="M363" s="2">
        <f t="shared" si="41"/>
        <v>0</v>
      </c>
    </row>
    <row r="364" spans="1:13" x14ac:dyDescent="0.3">
      <c r="A364" s="2" t="s">
        <v>823</v>
      </c>
      <c r="B364" s="2" t="s">
        <v>573</v>
      </c>
      <c r="C364" s="2" t="s">
        <v>255</v>
      </c>
      <c r="D364" s="2" t="s">
        <v>1117</v>
      </c>
      <c r="E364" s="2" t="s">
        <v>1120</v>
      </c>
      <c r="F364" s="2"/>
      <c r="G364" s="2">
        <f t="shared" si="35"/>
        <v>1</v>
      </c>
      <c r="H364" s="2">
        <f t="shared" si="36"/>
        <v>0</v>
      </c>
      <c r="I364" s="2">
        <f t="shared" si="37"/>
        <v>0</v>
      </c>
      <c r="J364" s="2">
        <f t="shared" si="38"/>
        <v>0</v>
      </c>
      <c r="K364" s="2">
        <f t="shared" si="39"/>
        <v>0</v>
      </c>
      <c r="L364" s="2">
        <f t="shared" si="40"/>
        <v>0</v>
      </c>
      <c r="M364" s="2">
        <f t="shared" si="41"/>
        <v>0</v>
      </c>
    </row>
    <row r="365" spans="1:13" x14ac:dyDescent="0.3">
      <c r="A365" s="2" t="s">
        <v>155</v>
      </c>
      <c r="B365" s="2" t="s">
        <v>649</v>
      </c>
      <c r="C365" s="2" t="s">
        <v>262</v>
      </c>
      <c r="D365" s="2" t="s">
        <v>1118</v>
      </c>
      <c r="E365" s="2" t="s">
        <v>1117</v>
      </c>
      <c r="F365" s="2" t="s">
        <v>1119</v>
      </c>
      <c r="G365" s="2">
        <f t="shared" si="35"/>
        <v>0</v>
      </c>
      <c r="H365" s="2">
        <f t="shared" si="36"/>
        <v>0</v>
      </c>
      <c r="I365" s="2">
        <f t="shared" si="37"/>
        <v>0</v>
      </c>
      <c r="J365" s="2">
        <f t="shared" si="38"/>
        <v>0</v>
      </c>
      <c r="K365" s="2">
        <f t="shared" si="39"/>
        <v>0</v>
      </c>
      <c r="L365" s="2">
        <f t="shared" si="40"/>
        <v>0</v>
      </c>
      <c r="M365" s="2">
        <f t="shared" si="41"/>
        <v>1</v>
      </c>
    </row>
    <row r="366" spans="1:13" x14ac:dyDescent="0.3">
      <c r="A366" s="2" t="s">
        <v>738</v>
      </c>
      <c r="B366" s="2" t="s">
        <v>542</v>
      </c>
      <c r="C366" s="2" t="s">
        <v>255</v>
      </c>
      <c r="D366" s="2" t="s">
        <v>1115</v>
      </c>
      <c r="E366" s="2" t="s">
        <v>1119</v>
      </c>
      <c r="F366" s="2" t="s">
        <v>1118</v>
      </c>
      <c r="G366" s="2">
        <f t="shared" si="35"/>
        <v>1</v>
      </c>
      <c r="H366" s="2">
        <f t="shared" si="36"/>
        <v>1</v>
      </c>
      <c r="I366" s="2">
        <f t="shared" si="37"/>
        <v>0</v>
      </c>
      <c r="J366" s="2">
        <f t="shared" si="38"/>
        <v>0</v>
      </c>
      <c r="K366" s="2">
        <f t="shared" si="39"/>
        <v>0</v>
      </c>
      <c r="L366" s="2">
        <f t="shared" si="40"/>
        <v>0</v>
      </c>
      <c r="M366" s="2">
        <f t="shared" si="41"/>
        <v>0</v>
      </c>
    </row>
    <row r="367" spans="1:13" x14ac:dyDescent="0.3">
      <c r="A367" s="2" t="s">
        <v>814</v>
      </c>
      <c r="B367" s="2" t="s">
        <v>612</v>
      </c>
      <c r="C367" s="2" t="s">
        <v>243</v>
      </c>
      <c r="D367" s="2" t="s">
        <v>1121</v>
      </c>
      <c r="E367" s="2" t="s">
        <v>1118</v>
      </c>
      <c r="F367" s="2"/>
      <c r="G367" s="2">
        <f t="shared" si="35"/>
        <v>0</v>
      </c>
      <c r="H367" s="2">
        <f t="shared" si="36"/>
        <v>0</v>
      </c>
      <c r="I367" s="2">
        <f t="shared" si="37"/>
        <v>0</v>
      </c>
      <c r="J367" s="2">
        <f t="shared" si="38"/>
        <v>0</v>
      </c>
      <c r="K367" s="2">
        <f t="shared" si="39"/>
        <v>0</v>
      </c>
      <c r="L367" s="2">
        <f t="shared" si="40"/>
        <v>1</v>
      </c>
      <c r="M367" s="2">
        <f t="shared" si="41"/>
        <v>0</v>
      </c>
    </row>
    <row r="368" spans="1:13" x14ac:dyDescent="0.3">
      <c r="A368" s="2" t="s">
        <v>882</v>
      </c>
      <c r="B368" s="2" t="s">
        <v>581</v>
      </c>
      <c r="C368" s="2" t="s">
        <v>255</v>
      </c>
      <c r="D368" s="2" t="s">
        <v>1118</v>
      </c>
      <c r="E368" s="2" t="s">
        <v>1119</v>
      </c>
      <c r="F368" s="2"/>
      <c r="G368" s="2">
        <f t="shared" si="35"/>
        <v>1</v>
      </c>
      <c r="H368" s="2">
        <f t="shared" si="36"/>
        <v>0</v>
      </c>
      <c r="I368" s="2">
        <f t="shared" si="37"/>
        <v>0</v>
      </c>
      <c r="J368" s="2">
        <f t="shared" si="38"/>
        <v>0</v>
      </c>
      <c r="K368" s="2">
        <f t="shared" si="39"/>
        <v>0</v>
      </c>
      <c r="L368" s="2">
        <f t="shared" si="40"/>
        <v>0</v>
      </c>
      <c r="M368" s="2">
        <f t="shared" si="41"/>
        <v>0</v>
      </c>
    </row>
    <row r="369" spans="1:13" x14ac:dyDescent="0.3">
      <c r="A369" s="2" t="s">
        <v>702</v>
      </c>
      <c r="B369" s="2" t="s">
        <v>537</v>
      </c>
      <c r="C369" s="2" t="s">
        <v>243</v>
      </c>
      <c r="D369" s="2" t="s">
        <v>1118</v>
      </c>
      <c r="E369" s="2"/>
      <c r="F369" s="2"/>
      <c r="G369" s="2">
        <f t="shared" si="35"/>
        <v>0</v>
      </c>
      <c r="H369" s="2">
        <f t="shared" si="36"/>
        <v>0</v>
      </c>
      <c r="I369" s="2">
        <f t="shared" si="37"/>
        <v>0</v>
      </c>
      <c r="J369" s="2">
        <f t="shared" si="38"/>
        <v>0</v>
      </c>
      <c r="K369" s="2">
        <f t="shared" si="39"/>
        <v>0</v>
      </c>
      <c r="L369" s="2">
        <f t="shared" si="40"/>
        <v>1</v>
      </c>
      <c r="M369" s="2">
        <f t="shared" si="41"/>
        <v>0</v>
      </c>
    </row>
    <row r="370" spans="1:13" x14ac:dyDescent="0.3">
      <c r="A370" s="2" t="s">
        <v>684</v>
      </c>
      <c r="B370" s="2" t="s">
        <v>531</v>
      </c>
      <c r="C370" s="2" t="s">
        <v>243</v>
      </c>
      <c r="D370" s="2"/>
      <c r="E370" s="2"/>
      <c r="F370" s="2"/>
      <c r="G370" s="2">
        <f t="shared" si="35"/>
        <v>0</v>
      </c>
      <c r="H370" s="2">
        <f t="shared" si="36"/>
        <v>0</v>
      </c>
      <c r="I370" s="2">
        <f t="shared" si="37"/>
        <v>0</v>
      </c>
      <c r="J370" s="2">
        <f t="shared" si="38"/>
        <v>0</v>
      </c>
      <c r="K370" s="2">
        <f t="shared" si="39"/>
        <v>0</v>
      </c>
      <c r="L370" s="2">
        <f t="shared" si="40"/>
        <v>1</v>
      </c>
      <c r="M370" s="2">
        <f t="shared" si="41"/>
        <v>0</v>
      </c>
    </row>
    <row r="371" spans="1:13" x14ac:dyDescent="0.3">
      <c r="A371" s="2" t="s">
        <v>840</v>
      </c>
      <c r="B371" s="2" t="s">
        <v>607</v>
      </c>
      <c r="C371" s="2" t="s">
        <v>262</v>
      </c>
      <c r="D371" s="2" t="s">
        <v>1117</v>
      </c>
      <c r="E371" s="2"/>
      <c r="F371" s="2"/>
      <c r="G371" s="2">
        <f t="shared" si="35"/>
        <v>0</v>
      </c>
      <c r="H371" s="2">
        <f t="shared" si="36"/>
        <v>0</v>
      </c>
      <c r="I371" s="2">
        <f t="shared" si="37"/>
        <v>0</v>
      </c>
      <c r="J371" s="2">
        <f t="shared" si="38"/>
        <v>0</v>
      </c>
      <c r="K371" s="2">
        <f t="shared" si="39"/>
        <v>0</v>
      </c>
      <c r="L371" s="2">
        <f t="shared" si="40"/>
        <v>0</v>
      </c>
      <c r="M371" s="2">
        <f t="shared" si="41"/>
        <v>1</v>
      </c>
    </row>
    <row r="372" spans="1:13" x14ac:dyDescent="0.3">
      <c r="A372" s="2" t="s">
        <v>226</v>
      </c>
      <c r="B372" s="2" t="s">
        <v>622</v>
      </c>
      <c r="C372" s="2" t="s">
        <v>262</v>
      </c>
      <c r="D372" s="2" t="s">
        <v>1116</v>
      </c>
      <c r="E372" s="2" t="s">
        <v>1121</v>
      </c>
      <c r="F372" s="2"/>
      <c r="G372" s="2">
        <f t="shared" si="35"/>
        <v>0</v>
      </c>
      <c r="H372" s="2">
        <f t="shared" si="36"/>
        <v>0</v>
      </c>
      <c r="I372" s="2">
        <f t="shared" si="37"/>
        <v>0</v>
      </c>
      <c r="J372" s="2">
        <f t="shared" si="38"/>
        <v>0</v>
      </c>
      <c r="K372" s="2">
        <f t="shared" si="39"/>
        <v>1</v>
      </c>
      <c r="L372" s="2">
        <f t="shared" si="40"/>
        <v>0</v>
      </c>
      <c r="M372" s="2">
        <f t="shared" si="41"/>
        <v>1</v>
      </c>
    </row>
    <row r="373" spans="1:13" x14ac:dyDescent="0.3">
      <c r="A373" s="2" t="s">
        <v>698</v>
      </c>
      <c r="B373" s="2" t="s">
        <v>619</v>
      </c>
      <c r="C373" s="2" t="s">
        <v>249</v>
      </c>
      <c r="D373" s="2" t="s">
        <v>1116</v>
      </c>
      <c r="E373" s="2" t="s">
        <v>1121</v>
      </c>
      <c r="F373" s="2"/>
      <c r="G373" s="2">
        <f t="shared" si="35"/>
        <v>0</v>
      </c>
      <c r="H373" s="2">
        <f t="shared" si="36"/>
        <v>0</v>
      </c>
      <c r="I373" s="2">
        <f t="shared" si="37"/>
        <v>0</v>
      </c>
      <c r="J373" s="2">
        <f t="shared" si="38"/>
        <v>0</v>
      </c>
      <c r="K373" s="2">
        <f t="shared" si="39"/>
        <v>1</v>
      </c>
      <c r="L373" s="2">
        <f t="shared" si="40"/>
        <v>0</v>
      </c>
      <c r="M373" s="2">
        <f t="shared" si="41"/>
        <v>0</v>
      </c>
    </row>
    <row r="374" spans="1:13" x14ac:dyDescent="0.3">
      <c r="A374" s="2" t="s">
        <v>846</v>
      </c>
      <c r="B374" s="2" t="s">
        <v>588</v>
      </c>
      <c r="C374" s="2" t="s">
        <v>249</v>
      </c>
      <c r="D374" s="2" t="s">
        <v>1116</v>
      </c>
      <c r="E374" s="2"/>
      <c r="F374" s="2"/>
      <c r="G374" s="2">
        <f t="shared" si="35"/>
        <v>0</v>
      </c>
      <c r="H374" s="2">
        <f t="shared" si="36"/>
        <v>0</v>
      </c>
      <c r="I374" s="2">
        <f t="shared" si="37"/>
        <v>0</v>
      </c>
      <c r="J374" s="2">
        <f t="shared" si="38"/>
        <v>0</v>
      </c>
      <c r="K374" s="2">
        <f t="shared" si="39"/>
        <v>1</v>
      </c>
      <c r="L374" s="2">
        <f t="shared" si="40"/>
        <v>0</v>
      </c>
      <c r="M374" s="2">
        <f t="shared" si="41"/>
        <v>0</v>
      </c>
    </row>
    <row r="375" spans="1:13" x14ac:dyDescent="0.3">
      <c r="A375" s="2" t="s">
        <v>215</v>
      </c>
      <c r="B375" s="2" t="s">
        <v>649</v>
      </c>
      <c r="C375" s="2" t="s">
        <v>251</v>
      </c>
      <c r="D375" s="2"/>
      <c r="E375" s="2"/>
      <c r="F375" s="2"/>
      <c r="G375" s="2">
        <f t="shared" si="35"/>
        <v>0</v>
      </c>
      <c r="H375" s="2">
        <f t="shared" si="36"/>
        <v>0</v>
      </c>
      <c r="I375" s="2">
        <f t="shared" si="37"/>
        <v>1</v>
      </c>
      <c r="J375" s="2">
        <f t="shared" si="38"/>
        <v>0</v>
      </c>
      <c r="K375" s="2">
        <f t="shared" si="39"/>
        <v>0</v>
      </c>
      <c r="L375" s="2">
        <f t="shared" si="40"/>
        <v>0</v>
      </c>
      <c r="M375" s="2">
        <f t="shared" si="41"/>
        <v>0</v>
      </c>
    </row>
    <row r="376" spans="1:13" x14ac:dyDescent="0.3">
      <c r="A376" s="2" t="s">
        <v>680</v>
      </c>
      <c r="B376" s="2" t="s">
        <v>657</v>
      </c>
      <c r="C376" s="2" t="s">
        <v>241</v>
      </c>
      <c r="D376" s="2" t="s">
        <v>1117</v>
      </c>
      <c r="E376" s="2" t="s">
        <v>1121</v>
      </c>
      <c r="F376" s="2"/>
      <c r="G376" s="2">
        <f t="shared" si="35"/>
        <v>0</v>
      </c>
      <c r="H376" s="2">
        <f t="shared" si="36"/>
        <v>0</v>
      </c>
      <c r="I376" s="2">
        <f t="shared" si="37"/>
        <v>0</v>
      </c>
      <c r="J376" s="2">
        <f t="shared" si="38"/>
        <v>1</v>
      </c>
      <c r="K376" s="2">
        <f t="shared" si="39"/>
        <v>0</v>
      </c>
      <c r="L376" s="2">
        <f t="shared" si="40"/>
        <v>0</v>
      </c>
      <c r="M376" s="2">
        <f t="shared" si="41"/>
        <v>0</v>
      </c>
    </row>
    <row r="377" spans="1:13" x14ac:dyDescent="0.3">
      <c r="A377" s="2" t="s">
        <v>701</v>
      </c>
      <c r="B377" s="2" t="s">
        <v>549</v>
      </c>
      <c r="C377" s="2" t="s">
        <v>275</v>
      </c>
      <c r="D377" s="2" t="s">
        <v>1119</v>
      </c>
      <c r="E377" s="2" t="s">
        <v>1120</v>
      </c>
      <c r="F377" s="2" t="s">
        <v>1118</v>
      </c>
      <c r="G377" s="2">
        <f t="shared" si="35"/>
        <v>0</v>
      </c>
      <c r="H377" s="2">
        <f t="shared" si="36"/>
        <v>0</v>
      </c>
      <c r="I377" s="2">
        <f t="shared" si="37"/>
        <v>0</v>
      </c>
      <c r="J377" s="2">
        <f t="shared" si="38"/>
        <v>0</v>
      </c>
      <c r="K377" s="2">
        <f t="shared" si="39"/>
        <v>0</v>
      </c>
      <c r="L377" s="2">
        <f t="shared" si="40"/>
        <v>0</v>
      </c>
      <c r="M377" s="2">
        <f t="shared" si="41"/>
        <v>0</v>
      </c>
    </row>
    <row r="378" spans="1:13" x14ac:dyDescent="0.3">
      <c r="A378" s="2" t="s">
        <v>748</v>
      </c>
      <c r="B378" s="2" t="s">
        <v>645</v>
      </c>
      <c r="C378" s="2" t="s">
        <v>243</v>
      </c>
      <c r="D378" s="2" t="s">
        <v>1115</v>
      </c>
      <c r="E378" s="2" t="s">
        <v>1120</v>
      </c>
      <c r="F378" s="2" t="s">
        <v>1118</v>
      </c>
      <c r="G378" s="2">
        <f t="shared" si="35"/>
        <v>0</v>
      </c>
      <c r="H378" s="2">
        <f t="shared" si="36"/>
        <v>1</v>
      </c>
      <c r="I378" s="2">
        <f t="shared" si="37"/>
        <v>0</v>
      </c>
      <c r="J378" s="2">
        <f t="shared" si="38"/>
        <v>0</v>
      </c>
      <c r="K378" s="2">
        <f t="shared" si="39"/>
        <v>0</v>
      </c>
      <c r="L378" s="2">
        <f t="shared" si="40"/>
        <v>1</v>
      </c>
      <c r="M378" s="2">
        <f t="shared" si="41"/>
        <v>0</v>
      </c>
    </row>
    <row r="379" spans="1:13" x14ac:dyDescent="0.3">
      <c r="A379" s="2" t="s">
        <v>900</v>
      </c>
      <c r="B379" s="2" t="s">
        <v>533</v>
      </c>
      <c r="C379" s="2" t="s">
        <v>241</v>
      </c>
      <c r="D379" s="2" t="s">
        <v>1121</v>
      </c>
      <c r="E379" s="2" t="s">
        <v>1115</v>
      </c>
      <c r="F379" s="2" t="s">
        <v>1116</v>
      </c>
      <c r="G379" s="2">
        <f t="shared" si="35"/>
        <v>0</v>
      </c>
      <c r="H379" s="2">
        <f t="shared" si="36"/>
        <v>1</v>
      </c>
      <c r="I379" s="2">
        <f t="shared" si="37"/>
        <v>0</v>
      </c>
      <c r="J379" s="2">
        <f t="shared" si="38"/>
        <v>1</v>
      </c>
      <c r="K379" s="2">
        <f t="shared" si="39"/>
        <v>1</v>
      </c>
      <c r="L379" s="2">
        <f t="shared" si="40"/>
        <v>0</v>
      </c>
      <c r="M379" s="2">
        <f t="shared" si="41"/>
        <v>0</v>
      </c>
    </row>
    <row r="380" spans="1:13" x14ac:dyDescent="0.3">
      <c r="A380" s="2" t="s">
        <v>862</v>
      </c>
      <c r="B380" s="2" t="s">
        <v>547</v>
      </c>
      <c r="C380" s="2" t="s">
        <v>241</v>
      </c>
      <c r="D380" s="2" t="s">
        <v>1119</v>
      </c>
      <c r="E380" s="2"/>
      <c r="F380" s="2"/>
      <c r="G380" s="2">
        <f t="shared" si="35"/>
        <v>0</v>
      </c>
      <c r="H380" s="2">
        <f t="shared" si="36"/>
        <v>0</v>
      </c>
      <c r="I380" s="2">
        <f t="shared" si="37"/>
        <v>0</v>
      </c>
      <c r="J380" s="2">
        <f t="shared" si="38"/>
        <v>1</v>
      </c>
      <c r="K380" s="2">
        <f t="shared" si="39"/>
        <v>0</v>
      </c>
      <c r="L380" s="2">
        <f t="shared" si="40"/>
        <v>0</v>
      </c>
      <c r="M380" s="2">
        <f t="shared" si="41"/>
        <v>0</v>
      </c>
    </row>
    <row r="381" spans="1:13" x14ac:dyDescent="0.3">
      <c r="A381" s="2" t="s">
        <v>869</v>
      </c>
      <c r="B381" s="2" t="s">
        <v>641</v>
      </c>
      <c r="C381" s="2" t="s">
        <v>243</v>
      </c>
      <c r="D381" s="2" t="s">
        <v>1115</v>
      </c>
      <c r="E381" s="2" t="s">
        <v>1116</v>
      </c>
      <c r="F381" s="2"/>
      <c r="G381" s="2">
        <f t="shared" si="35"/>
        <v>0</v>
      </c>
      <c r="H381" s="2">
        <f t="shared" si="36"/>
        <v>1</v>
      </c>
      <c r="I381" s="2">
        <f t="shared" si="37"/>
        <v>0</v>
      </c>
      <c r="J381" s="2">
        <f t="shared" si="38"/>
        <v>0</v>
      </c>
      <c r="K381" s="2">
        <f t="shared" si="39"/>
        <v>1</v>
      </c>
      <c r="L381" s="2">
        <f t="shared" si="40"/>
        <v>1</v>
      </c>
      <c r="M381" s="2">
        <f t="shared" si="41"/>
        <v>0</v>
      </c>
    </row>
    <row r="382" spans="1:13" x14ac:dyDescent="0.3">
      <c r="A382" s="2" t="s">
        <v>227</v>
      </c>
      <c r="B382" s="2" t="s">
        <v>621</v>
      </c>
      <c r="C382" s="2" t="s">
        <v>255</v>
      </c>
      <c r="D382" s="2" t="s">
        <v>1118</v>
      </c>
      <c r="E382" s="2" t="s">
        <v>1120</v>
      </c>
      <c r="F382" s="2" t="s">
        <v>1116</v>
      </c>
      <c r="G382" s="2">
        <f t="shared" si="35"/>
        <v>1</v>
      </c>
      <c r="H382" s="2">
        <f t="shared" si="36"/>
        <v>0</v>
      </c>
      <c r="I382" s="2">
        <f t="shared" si="37"/>
        <v>0</v>
      </c>
      <c r="J382" s="2">
        <f t="shared" si="38"/>
        <v>0</v>
      </c>
      <c r="K382" s="2">
        <f t="shared" si="39"/>
        <v>1</v>
      </c>
      <c r="L382" s="2">
        <f t="shared" si="40"/>
        <v>0</v>
      </c>
      <c r="M382" s="2">
        <f t="shared" si="41"/>
        <v>0</v>
      </c>
    </row>
    <row r="383" spans="1:13" x14ac:dyDescent="0.3">
      <c r="A383" s="2" t="s">
        <v>789</v>
      </c>
      <c r="B383" s="2" t="s">
        <v>647</v>
      </c>
      <c r="C383" s="2" t="s">
        <v>241</v>
      </c>
      <c r="D383" s="2" t="s">
        <v>1119</v>
      </c>
      <c r="E383" s="2" t="s">
        <v>1121</v>
      </c>
      <c r="F383" s="2" t="s">
        <v>1117</v>
      </c>
      <c r="G383" s="2">
        <f t="shared" si="35"/>
        <v>0</v>
      </c>
      <c r="H383" s="2">
        <f t="shared" si="36"/>
        <v>0</v>
      </c>
      <c r="I383" s="2">
        <f t="shared" si="37"/>
        <v>0</v>
      </c>
      <c r="J383" s="2">
        <f t="shared" si="38"/>
        <v>1</v>
      </c>
      <c r="K383" s="2">
        <f t="shared" si="39"/>
        <v>0</v>
      </c>
      <c r="L383" s="2">
        <f t="shared" si="40"/>
        <v>0</v>
      </c>
      <c r="M383" s="2">
        <f t="shared" si="41"/>
        <v>0</v>
      </c>
    </row>
    <row r="384" spans="1:13" x14ac:dyDescent="0.3">
      <c r="A384" s="2" t="s">
        <v>777</v>
      </c>
      <c r="B384" s="2" t="s">
        <v>603</v>
      </c>
      <c r="C384" s="2" t="s">
        <v>251</v>
      </c>
      <c r="D384" s="2" t="s">
        <v>1118</v>
      </c>
      <c r="E384" s="2" t="s">
        <v>1115</v>
      </c>
      <c r="F384" s="2"/>
      <c r="G384" s="2">
        <f t="shared" si="35"/>
        <v>0</v>
      </c>
      <c r="H384" s="2">
        <f t="shared" si="36"/>
        <v>1</v>
      </c>
      <c r="I384" s="2">
        <f t="shared" si="37"/>
        <v>1</v>
      </c>
      <c r="J384" s="2">
        <f t="shared" si="38"/>
        <v>0</v>
      </c>
      <c r="K384" s="2">
        <f t="shared" si="39"/>
        <v>0</v>
      </c>
      <c r="L384" s="2">
        <f t="shared" si="40"/>
        <v>0</v>
      </c>
      <c r="M384" s="2">
        <f t="shared" si="41"/>
        <v>0</v>
      </c>
    </row>
    <row r="385" spans="1:13" x14ac:dyDescent="0.3">
      <c r="A385" s="2" t="s">
        <v>878</v>
      </c>
      <c r="B385" s="2" t="s">
        <v>621</v>
      </c>
      <c r="C385" s="2" t="s">
        <v>255</v>
      </c>
      <c r="D385" s="2"/>
      <c r="E385" s="2"/>
      <c r="F385" s="2"/>
      <c r="G385" s="2">
        <f t="shared" si="35"/>
        <v>1</v>
      </c>
      <c r="H385" s="2">
        <f t="shared" si="36"/>
        <v>0</v>
      </c>
      <c r="I385" s="2">
        <f t="shared" si="37"/>
        <v>0</v>
      </c>
      <c r="J385" s="2">
        <f t="shared" si="38"/>
        <v>0</v>
      </c>
      <c r="K385" s="2">
        <f t="shared" si="39"/>
        <v>0</v>
      </c>
      <c r="L385" s="2">
        <f t="shared" si="40"/>
        <v>0</v>
      </c>
      <c r="M385" s="2">
        <f t="shared" si="41"/>
        <v>0</v>
      </c>
    </row>
    <row r="386" spans="1:13" x14ac:dyDescent="0.3">
      <c r="A386" s="2" t="s">
        <v>219</v>
      </c>
      <c r="B386" s="2" t="s">
        <v>639</v>
      </c>
      <c r="C386" s="2" t="s">
        <v>251</v>
      </c>
      <c r="D386" s="2" t="s">
        <v>1120</v>
      </c>
      <c r="E386" s="2" t="s">
        <v>1115</v>
      </c>
      <c r="F386" s="2"/>
      <c r="G386" s="2">
        <f t="shared" si="35"/>
        <v>0</v>
      </c>
      <c r="H386" s="2">
        <f t="shared" si="36"/>
        <v>1</v>
      </c>
      <c r="I386" s="2">
        <f t="shared" si="37"/>
        <v>1</v>
      </c>
      <c r="J386" s="2">
        <f t="shared" si="38"/>
        <v>0</v>
      </c>
      <c r="K386" s="2">
        <f t="shared" si="39"/>
        <v>0</v>
      </c>
      <c r="L386" s="2">
        <f t="shared" si="40"/>
        <v>0</v>
      </c>
      <c r="M386" s="2">
        <f t="shared" si="41"/>
        <v>0</v>
      </c>
    </row>
    <row r="387" spans="1:13" x14ac:dyDescent="0.3">
      <c r="A387" s="2" t="s">
        <v>776</v>
      </c>
      <c r="B387" s="2" t="s">
        <v>589</v>
      </c>
      <c r="C387" s="2" t="s">
        <v>243</v>
      </c>
      <c r="D387" s="2" t="s">
        <v>1115</v>
      </c>
      <c r="E387" s="2" t="s">
        <v>1118</v>
      </c>
      <c r="F387" s="2"/>
      <c r="G387" s="2">
        <f t="shared" ref="G387:G401" si="42">IF(COUNTIF(C387:F387,"Community Activities")&gt;0,1,0)</f>
        <v>0</v>
      </c>
      <c r="H387" s="2">
        <f t="shared" ref="H387:H401" si="43">IF(COUNTIF(C387:F387," Employment Assistance")&gt;0,1,0)</f>
        <v>1</v>
      </c>
      <c r="I387" s="2">
        <f t="shared" ref="I387:I401" si="44">IF(COUNTIF(C387:F387,"Housing")&gt;0,1,0)</f>
        <v>0</v>
      </c>
      <c r="J387" s="2">
        <f t="shared" ref="J387:J401" si="45">IF(COUNTIF(C387:F387,"Medical")&gt;0,1,0)</f>
        <v>0</v>
      </c>
      <c r="K387" s="2">
        <f t="shared" ref="K387:K401" si="46">IF(COUNTIF(C387:F387," Schooling")&gt;0,1,0)</f>
        <v>0</v>
      </c>
      <c r="L387" s="2">
        <f t="shared" ref="L387:L401" si="47">IF(COUNTIF(C387:F387,"Transport")&gt;0,1,0)</f>
        <v>1</v>
      </c>
      <c r="M387" s="2">
        <f t="shared" ref="M387:M401" si="48">IF(COUNTIF(C387:F387,"Canteen")&gt;0,1,0)</f>
        <v>0</v>
      </c>
    </row>
    <row r="388" spans="1:13" x14ac:dyDescent="0.3">
      <c r="A388" s="2" t="s">
        <v>149</v>
      </c>
      <c r="B388" s="2" t="s">
        <v>588</v>
      </c>
      <c r="C388" s="2" t="s">
        <v>262</v>
      </c>
      <c r="D388" s="2"/>
      <c r="E388" s="2"/>
      <c r="F388" s="2"/>
      <c r="G388" s="2">
        <f t="shared" si="42"/>
        <v>0</v>
      </c>
      <c r="H388" s="2">
        <f t="shared" si="43"/>
        <v>0</v>
      </c>
      <c r="I388" s="2">
        <f t="shared" si="44"/>
        <v>0</v>
      </c>
      <c r="J388" s="2">
        <f t="shared" si="45"/>
        <v>0</v>
      </c>
      <c r="K388" s="2">
        <f t="shared" si="46"/>
        <v>0</v>
      </c>
      <c r="L388" s="2">
        <f t="shared" si="47"/>
        <v>0</v>
      </c>
      <c r="M388" s="2">
        <f t="shared" si="48"/>
        <v>1</v>
      </c>
    </row>
    <row r="389" spans="1:13" x14ac:dyDescent="0.3">
      <c r="A389" s="2" t="s">
        <v>935</v>
      </c>
      <c r="B389" s="2" t="s">
        <v>544</v>
      </c>
      <c r="C389" s="2" t="s">
        <v>241</v>
      </c>
      <c r="D389" s="2" t="s">
        <v>1121</v>
      </c>
      <c r="E389" s="2"/>
      <c r="F389" s="2"/>
      <c r="G389" s="2">
        <f t="shared" si="42"/>
        <v>0</v>
      </c>
      <c r="H389" s="2">
        <f t="shared" si="43"/>
        <v>0</v>
      </c>
      <c r="I389" s="2">
        <f t="shared" si="44"/>
        <v>0</v>
      </c>
      <c r="J389" s="2">
        <f t="shared" si="45"/>
        <v>1</v>
      </c>
      <c r="K389" s="2">
        <f t="shared" si="46"/>
        <v>0</v>
      </c>
      <c r="L389" s="2">
        <f t="shared" si="47"/>
        <v>0</v>
      </c>
      <c r="M389" s="2">
        <f t="shared" si="48"/>
        <v>0</v>
      </c>
    </row>
    <row r="390" spans="1:13" x14ac:dyDescent="0.3">
      <c r="A390" s="2" t="s">
        <v>928</v>
      </c>
      <c r="B390" s="2" t="s">
        <v>549</v>
      </c>
      <c r="C390" s="2" t="s">
        <v>262</v>
      </c>
      <c r="D390" s="2"/>
      <c r="E390" s="2"/>
      <c r="F390" s="2"/>
      <c r="G390" s="2">
        <f t="shared" si="42"/>
        <v>0</v>
      </c>
      <c r="H390" s="2">
        <f t="shared" si="43"/>
        <v>0</v>
      </c>
      <c r="I390" s="2">
        <f t="shared" si="44"/>
        <v>0</v>
      </c>
      <c r="J390" s="2">
        <f t="shared" si="45"/>
        <v>0</v>
      </c>
      <c r="K390" s="2">
        <f t="shared" si="46"/>
        <v>0</v>
      </c>
      <c r="L390" s="2">
        <f t="shared" si="47"/>
        <v>0</v>
      </c>
      <c r="M390" s="2">
        <f t="shared" si="48"/>
        <v>1</v>
      </c>
    </row>
    <row r="391" spans="1:13" x14ac:dyDescent="0.3">
      <c r="A391" s="2" t="s">
        <v>736</v>
      </c>
      <c r="B391" s="2" t="s">
        <v>647</v>
      </c>
      <c r="C391" s="2" t="s">
        <v>249</v>
      </c>
      <c r="D391" s="2" t="s">
        <v>1116</v>
      </c>
      <c r="E391" s="2" t="s">
        <v>1119</v>
      </c>
      <c r="F391" s="2" t="s">
        <v>1121</v>
      </c>
      <c r="G391" s="2">
        <f t="shared" si="42"/>
        <v>0</v>
      </c>
      <c r="H391" s="2">
        <f t="shared" si="43"/>
        <v>0</v>
      </c>
      <c r="I391" s="2">
        <f t="shared" si="44"/>
        <v>0</v>
      </c>
      <c r="J391" s="2">
        <f t="shared" si="45"/>
        <v>0</v>
      </c>
      <c r="K391" s="2">
        <f t="shared" si="46"/>
        <v>1</v>
      </c>
      <c r="L391" s="2">
        <f t="shared" si="47"/>
        <v>0</v>
      </c>
      <c r="M391" s="2">
        <f t="shared" si="48"/>
        <v>0</v>
      </c>
    </row>
    <row r="392" spans="1:13" x14ac:dyDescent="0.3">
      <c r="A392" s="2" t="s">
        <v>842</v>
      </c>
      <c r="B392" s="2" t="s">
        <v>556</v>
      </c>
      <c r="C392" s="2" t="s">
        <v>262</v>
      </c>
      <c r="D392" s="2" t="s">
        <v>1121</v>
      </c>
      <c r="E392" s="2" t="s">
        <v>1115</v>
      </c>
      <c r="F392" s="2" t="s">
        <v>1119</v>
      </c>
      <c r="G392" s="2">
        <f t="shared" si="42"/>
        <v>0</v>
      </c>
      <c r="H392" s="2">
        <f t="shared" si="43"/>
        <v>1</v>
      </c>
      <c r="I392" s="2">
        <f t="shared" si="44"/>
        <v>0</v>
      </c>
      <c r="J392" s="2">
        <f t="shared" si="45"/>
        <v>0</v>
      </c>
      <c r="K392" s="2">
        <f t="shared" si="46"/>
        <v>0</v>
      </c>
      <c r="L392" s="2">
        <f t="shared" si="47"/>
        <v>0</v>
      </c>
      <c r="M392" s="2">
        <f t="shared" si="48"/>
        <v>1</v>
      </c>
    </row>
    <row r="393" spans="1:13" x14ac:dyDescent="0.3">
      <c r="A393" s="2" t="s">
        <v>905</v>
      </c>
      <c r="B393" s="2" t="s">
        <v>558</v>
      </c>
      <c r="C393" s="2" t="s">
        <v>243</v>
      </c>
      <c r="D393" s="2" t="s">
        <v>1119</v>
      </c>
      <c r="E393" s="2" t="s">
        <v>1118</v>
      </c>
      <c r="F393" s="2" t="s">
        <v>1121</v>
      </c>
      <c r="G393" s="2">
        <f t="shared" si="42"/>
        <v>0</v>
      </c>
      <c r="H393" s="2">
        <f t="shared" si="43"/>
        <v>0</v>
      </c>
      <c r="I393" s="2">
        <f t="shared" si="44"/>
        <v>0</v>
      </c>
      <c r="J393" s="2">
        <f t="shared" si="45"/>
        <v>0</v>
      </c>
      <c r="K393" s="2">
        <f t="shared" si="46"/>
        <v>0</v>
      </c>
      <c r="L393" s="2">
        <f t="shared" si="47"/>
        <v>1</v>
      </c>
      <c r="M393" s="2">
        <f t="shared" si="48"/>
        <v>0</v>
      </c>
    </row>
    <row r="394" spans="1:13" x14ac:dyDescent="0.3">
      <c r="A394" s="2" t="s">
        <v>150</v>
      </c>
      <c r="B394" s="2" t="s">
        <v>538</v>
      </c>
      <c r="C394" s="2" t="s">
        <v>243</v>
      </c>
      <c r="D394" s="2" t="s">
        <v>1118</v>
      </c>
      <c r="E394" s="2"/>
      <c r="F394" s="2"/>
      <c r="G394" s="2">
        <f t="shared" si="42"/>
        <v>0</v>
      </c>
      <c r="H394" s="2">
        <f t="shared" si="43"/>
        <v>0</v>
      </c>
      <c r="I394" s="2">
        <f t="shared" si="44"/>
        <v>0</v>
      </c>
      <c r="J394" s="2">
        <f t="shared" si="45"/>
        <v>0</v>
      </c>
      <c r="K394" s="2">
        <f t="shared" si="46"/>
        <v>0</v>
      </c>
      <c r="L394" s="2">
        <f t="shared" si="47"/>
        <v>1</v>
      </c>
      <c r="M394" s="2">
        <f t="shared" si="48"/>
        <v>0</v>
      </c>
    </row>
    <row r="395" spans="1:13" x14ac:dyDescent="0.3">
      <c r="A395" s="2" t="s">
        <v>166</v>
      </c>
      <c r="B395" s="2" t="s">
        <v>602</v>
      </c>
      <c r="C395" s="2" t="s">
        <v>251</v>
      </c>
      <c r="D395" s="2" t="s">
        <v>1116</v>
      </c>
      <c r="E395" s="2"/>
      <c r="F395" s="2"/>
      <c r="G395" s="2">
        <f t="shared" si="42"/>
        <v>0</v>
      </c>
      <c r="H395" s="2">
        <f t="shared" si="43"/>
        <v>0</v>
      </c>
      <c r="I395" s="2">
        <f t="shared" si="44"/>
        <v>1</v>
      </c>
      <c r="J395" s="2">
        <f t="shared" si="45"/>
        <v>0</v>
      </c>
      <c r="K395" s="2">
        <f t="shared" si="46"/>
        <v>1</v>
      </c>
      <c r="L395" s="2">
        <f t="shared" si="47"/>
        <v>0</v>
      </c>
      <c r="M395" s="2">
        <f t="shared" si="48"/>
        <v>0</v>
      </c>
    </row>
    <row r="396" spans="1:13" x14ac:dyDescent="0.3">
      <c r="A396" s="2" t="s">
        <v>714</v>
      </c>
      <c r="B396" s="2" t="s">
        <v>658</v>
      </c>
      <c r="C396" s="2" t="s">
        <v>243</v>
      </c>
      <c r="D396" s="2"/>
      <c r="E396" s="2"/>
      <c r="F396" s="2"/>
      <c r="G396" s="2">
        <f t="shared" si="42"/>
        <v>0</v>
      </c>
      <c r="H396" s="2">
        <f t="shared" si="43"/>
        <v>0</v>
      </c>
      <c r="I396" s="2">
        <f t="shared" si="44"/>
        <v>0</v>
      </c>
      <c r="J396" s="2">
        <f t="shared" si="45"/>
        <v>0</v>
      </c>
      <c r="K396" s="2">
        <f t="shared" si="46"/>
        <v>0</v>
      </c>
      <c r="L396" s="2">
        <f t="shared" si="47"/>
        <v>1</v>
      </c>
      <c r="M396" s="2">
        <f t="shared" si="48"/>
        <v>0</v>
      </c>
    </row>
    <row r="397" spans="1:13" x14ac:dyDescent="0.3">
      <c r="A397" s="2" t="s">
        <v>917</v>
      </c>
      <c r="B397" s="2" t="s">
        <v>599</v>
      </c>
      <c r="C397" s="2" t="s">
        <v>275</v>
      </c>
      <c r="D397" s="2" t="s">
        <v>1115</v>
      </c>
      <c r="E397" s="2" t="s">
        <v>1120</v>
      </c>
      <c r="F397" s="2" t="s">
        <v>1117</v>
      </c>
      <c r="G397" s="2">
        <f t="shared" si="42"/>
        <v>0</v>
      </c>
      <c r="H397" s="2">
        <f t="shared" si="43"/>
        <v>1</v>
      </c>
      <c r="I397" s="2">
        <f t="shared" si="44"/>
        <v>0</v>
      </c>
      <c r="J397" s="2">
        <f t="shared" si="45"/>
        <v>0</v>
      </c>
      <c r="K397" s="2">
        <f t="shared" si="46"/>
        <v>0</v>
      </c>
      <c r="L397" s="2">
        <f t="shared" si="47"/>
        <v>0</v>
      </c>
      <c r="M397" s="2">
        <f t="shared" si="48"/>
        <v>0</v>
      </c>
    </row>
    <row r="398" spans="1:13" x14ac:dyDescent="0.3">
      <c r="A398" s="2" t="s">
        <v>190</v>
      </c>
      <c r="B398" s="2" t="s">
        <v>617</v>
      </c>
      <c r="C398" s="2" t="s">
        <v>249</v>
      </c>
      <c r="D398" s="2" t="s">
        <v>1118</v>
      </c>
      <c r="E398" s="2"/>
      <c r="F398" s="2"/>
      <c r="G398" s="2">
        <f t="shared" si="42"/>
        <v>0</v>
      </c>
      <c r="H398" s="2">
        <f t="shared" si="43"/>
        <v>0</v>
      </c>
      <c r="I398" s="2">
        <f t="shared" si="44"/>
        <v>0</v>
      </c>
      <c r="J398" s="2">
        <f t="shared" si="45"/>
        <v>0</v>
      </c>
      <c r="K398" s="2">
        <f t="shared" si="46"/>
        <v>0</v>
      </c>
      <c r="L398" s="2">
        <f t="shared" si="47"/>
        <v>0</v>
      </c>
      <c r="M398" s="2">
        <f t="shared" si="48"/>
        <v>0</v>
      </c>
    </row>
    <row r="399" spans="1:13" x14ac:dyDescent="0.3">
      <c r="A399" s="2" t="s">
        <v>720</v>
      </c>
      <c r="B399" s="2" t="s">
        <v>602</v>
      </c>
      <c r="C399" s="2" t="s">
        <v>262</v>
      </c>
      <c r="D399" s="2" t="s">
        <v>1116</v>
      </c>
      <c r="E399" s="2" t="s">
        <v>1121</v>
      </c>
      <c r="F399" s="2"/>
      <c r="G399" s="2">
        <f t="shared" si="42"/>
        <v>0</v>
      </c>
      <c r="H399" s="2">
        <f t="shared" si="43"/>
        <v>0</v>
      </c>
      <c r="I399" s="2">
        <f t="shared" si="44"/>
        <v>0</v>
      </c>
      <c r="J399" s="2">
        <f t="shared" si="45"/>
        <v>0</v>
      </c>
      <c r="K399" s="2">
        <f t="shared" si="46"/>
        <v>1</v>
      </c>
      <c r="L399" s="2">
        <f t="shared" si="47"/>
        <v>0</v>
      </c>
      <c r="M399" s="2">
        <f t="shared" si="48"/>
        <v>1</v>
      </c>
    </row>
    <row r="400" spans="1:13" x14ac:dyDescent="0.3">
      <c r="A400" s="2" t="s">
        <v>1113</v>
      </c>
      <c r="B400" s="2" t="s">
        <v>655</v>
      </c>
      <c r="C400" s="2" t="s">
        <v>249</v>
      </c>
      <c r="D400" s="2" t="s">
        <v>1116</v>
      </c>
      <c r="E400" s="2"/>
      <c r="F400" s="2"/>
      <c r="G400" s="2">
        <f t="shared" si="42"/>
        <v>0</v>
      </c>
      <c r="H400" s="2">
        <f t="shared" si="43"/>
        <v>0</v>
      </c>
      <c r="I400" s="2">
        <f t="shared" si="44"/>
        <v>0</v>
      </c>
      <c r="J400" s="2">
        <f t="shared" si="45"/>
        <v>0</v>
      </c>
      <c r="K400" s="2">
        <f t="shared" si="46"/>
        <v>1</v>
      </c>
      <c r="L400" s="2">
        <f t="shared" si="47"/>
        <v>0</v>
      </c>
      <c r="M400" s="2">
        <f t="shared" si="48"/>
        <v>0</v>
      </c>
    </row>
    <row r="401" spans="1:13" x14ac:dyDescent="0.3">
      <c r="A401" s="2" t="s">
        <v>813</v>
      </c>
      <c r="B401" s="2" t="s">
        <v>659</v>
      </c>
      <c r="C401" s="2" t="s">
        <v>255</v>
      </c>
      <c r="D401" s="2"/>
      <c r="E401" s="2"/>
      <c r="F401" s="2"/>
      <c r="G401" s="2">
        <f t="shared" si="42"/>
        <v>1</v>
      </c>
      <c r="H401" s="2">
        <f t="shared" si="43"/>
        <v>0</v>
      </c>
      <c r="I401" s="2">
        <f t="shared" si="44"/>
        <v>0</v>
      </c>
      <c r="J401" s="2">
        <f t="shared" si="45"/>
        <v>0</v>
      </c>
      <c r="K401" s="2">
        <f t="shared" si="46"/>
        <v>0</v>
      </c>
      <c r="L401" s="2">
        <f t="shared" si="47"/>
        <v>0</v>
      </c>
      <c r="M401" s="2">
        <f t="shared" si="48"/>
        <v>0</v>
      </c>
    </row>
    <row r="402" spans="1:13" ht="28.8" x14ac:dyDescent="0.3">
      <c r="F402" s="5" t="s">
        <v>1129</v>
      </c>
      <c r="G402" s="4">
        <f t="shared" ref="G402:M402" si="49">SUM(G2:G401)/400</f>
        <v>0.15</v>
      </c>
      <c r="H402" s="4">
        <f t="shared" si="49"/>
        <v>0.23499999999999999</v>
      </c>
      <c r="I402" s="4">
        <f t="shared" si="49"/>
        <v>0.15</v>
      </c>
      <c r="J402" s="4">
        <f t="shared" si="49"/>
        <v>0.14749999999999999</v>
      </c>
      <c r="K402" s="4">
        <f t="shared" si="49"/>
        <v>0.23499999999999999</v>
      </c>
      <c r="L402" s="4">
        <f t="shared" si="49"/>
        <v>0.17249999999999999</v>
      </c>
      <c r="M402" s="4">
        <f t="shared" si="49"/>
        <v>0.14000000000000001</v>
      </c>
    </row>
  </sheetData>
  <autoFilter ref="B1:M1" xr:uid="{F42559E1-6698-419B-9E72-FAE6132BBD6F}"/>
  <conditionalFormatting sqref="A1:A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A10A-2493-4ED6-86C6-78620CEBA556}">
  <sheetPr filterMode="1"/>
  <dimension ref="A1:I401"/>
  <sheetViews>
    <sheetView workbookViewId="0">
      <selection activeCell="L37" sqref="L37"/>
    </sheetView>
  </sheetViews>
  <sheetFormatPr defaultRowHeight="14.4" x14ac:dyDescent="0.3"/>
  <cols>
    <col min="1" max="1" width="21.88671875" customWidth="1"/>
    <col min="2" max="2" width="14" bestFit="1" customWidth="1"/>
    <col min="3" max="3" width="14" customWidth="1"/>
    <col min="4" max="4" width="10.5546875" bestFit="1" customWidth="1"/>
    <col min="5" max="5" width="16.33203125" bestFit="1" customWidth="1"/>
    <col min="6" max="6" width="13.77734375" bestFit="1" customWidth="1"/>
    <col min="7" max="7" width="15.33203125" bestFit="1" customWidth="1"/>
    <col min="8" max="8" width="35.77734375" bestFit="1" customWidth="1"/>
    <col min="9" max="9" width="17.77734375" bestFit="1" customWidth="1"/>
  </cols>
  <sheetData>
    <row r="1" spans="1:9" x14ac:dyDescent="0.3">
      <c r="A1" s="3" t="s">
        <v>2</v>
      </c>
      <c r="B1" s="3" t="s">
        <v>3</v>
      </c>
      <c r="C1" s="8" t="s">
        <v>1130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1131</v>
      </c>
    </row>
    <row r="2" spans="1:9" hidden="1" x14ac:dyDescent="0.3">
      <c r="A2" s="2" t="s">
        <v>839</v>
      </c>
      <c r="B2" s="6">
        <v>26</v>
      </c>
      <c r="C2" s="6" t="str">
        <f>IF(B2&lt;30,"&lt;30",IF(B2&lt;=40,"30-40",IF(B2&lt;=50,"40-50",IF(B2&gt;50,"50+","Unknown"))))</f>
        <v>&lt;30</v>
      </c>
      <c r="D2" s="6" t="s">
        <v>231</v>
      </c>
      <c r="E2" s="6" t="s">
        <v>233</v>
      </c>
      <c r="F2" s="6" t="s">
        <v>238</v>
      </c>
      <c r="G2" s="6" t="s">
        <v>244</v>
      </c>
      <c r="H2" s="6">
        <v>9</v>
      </c>
      <c r="I2" t="str">
        <f>IF(H2&lt;=4,"0-4 Yrs",IF(H2&lt;=10,"5-10 Yrs",IF(H2&lt;=20,"11-20 Yrs",IF(H2&gt;20,"20 + Yrs","Unknown"))))</f>
        <v>5-10 Yrs</v>
      </c>
    </row>
    <row r="3" spans="1:9" hidden="1" x14ac:dyDescent="0.3">
      <c r="A3" s="2" t="s">
        <v>836</v>
      </c>
      <c r="B3" s="2">
        <v>42</v>
      </c>
      <c r="C3" s="2" t="str">
        <f t="shared" ref="C3:C4" si="0">IF(B3&lt;30,"&lt;30",IF(B3&lt;=40,"30-40",IF(B3&lt;=50,"40-50",IF(B3&gt;50,"50+","Unknown"))))</f>
        <v>40-50</v>
      </c>
      <c r="D3" s="2" t="s">
        <v>231</v>
      </c>
      <c r="E3" s="2" t="s">
        <v>234</v>
      </c>
      <c r="F3" s="2" t="s">
        <v>239</v>
      </c>
      <c r="G3" s="2" t="s">
        <v>244</v>
      </c>
      <c r="H3" s="2">
        <v>6</v>
      </c>
      <c r="I3" t="str">
        <f t="shared" ref="I3:I4" si="1">IF(H3&lt;=4,"0-4 Yrs",IF(H3&lt;=10,"5-10 Yrs",IF(H3&lt;=20,"11-20 Yrs",IF(H3&gt;20,"20 + Yrs","Unknown"))))</f>
        <v>5-10 Yrs</v>
      </c>
    </row>
    <row r="4" spans="1:9" hidden="1" x14ac:dyDescent="0.3">
      <c r="A4" s="2" t="s">
        <v>189</v>
      </c>
      <c r="B4" s="2">
        <v>42</v>
      </c>
      <c r="C4" s="2" t="str">
        <f t="shared" si="0"/>
        <v>40-50</v>
      </c>
      <c r="D4" s="2" t="s">
        <v>232</v>
      </c>
      <c r="E4" s="2" t="s">
        <v>233</v>
      </c>
      <c r="F4" s="2" t="s">
        <v>238</v>
      </c>
      <c r="G4" s="2" t="s">
        <v>245</v>
      </c>
      <c r="H4" s="2">
        <v>23</v>
      </c>
      <c r="I4" t="str">
        <f t="shared" si="1"/>
        <v>20 + Yrs</v>
      </c>
    </row>
    <row r="5" spans="1:9" x14ac:dyDescent="0.3">
      <c r="A5" s="2" t="s">
        <v>871</v>
      </c>
      <c r="B5" s="2">
        <v>25</v>
      </c>
      <c r="C5" s="2" t="str">
        <f t="shared" ref="C5:C68" si="2">IF(B5&lt;30,"&lt;30",IF(B5&lt;=40,"30-40",IF(B5&lt;=50,"40-50",IF(B5&gt;50,"50+","Unknown"))))</f>
        <v>&lt;30</v>
      </c>
      <c r="D5" s="2" t="s">
        <v>231</v>
      </c>
      <c r="E5" s="2" t="s">
        <v>235</v>
      </c>
      <c r="F5" s="2" t="s">
        <v>242</v>
      </c>
      <c r="G5" s="2" t="s">
        <v>246</v>
      </c>
      <c r="H5" s="2">
        <v>25</v>
      </c>
      <c r="I5" s="2" t="str">
        <f t="shared" ref="I5:I68" si="3">IF(H5&lt;=4,"0-4 Yrs",IF(H5&lt;=10,"5-10 Yrs",IF(H5&lt;=20,"11-20 Yrs",IF(H5&gt;20,"20 + Yrs","Unknown"))))</f>
        <v>20 + Yrs</v>
      </c>
    </row>
    <row r="6" spans="1:9" hidden="1" x14ac:dyDescent="0.3">
      <c r="A6" s="2" t="s">
        <v>162</v>
      </c>
      <c r="B6" s="6">
        <v>49</v>
      </c>
      <c r="C6" s="6" t="str">
        <f t="shared" si="2"/>
        <v>40-50</v>
      </c>
      <c r="D6" s="6" t="s">
        <v>231</v>
      </c>
      <c r="E6" s="6" t="s">
        <v>235</v>
      </c>
      <c r="F6" s="6" t="s">
        <v>241</v>
      </c>
      <c r="G6" s="6" t="s">
        <v>245</v>
      </c>
      <c r="H6" s="6">
        <v>1</v>
      </c>
      <c r="I6" t="str">
        <f t="shared" si="3"/>
        <v>0-4 Yrs</v>
      </c>
    </row>
    <row r="7" spans="1:9" hidden="1" x14ac:dyDescent="0.3">
      <c r="A7" s="2" t="s">
        <v>726</v>
      </c>
      <c r="B7" s="2">
        <v>56</v>
      </c>
      <c r="C7" s="2" t="str">
        <f t="shared" si="2"/>
        <v>50+</v>
      </c>
      <c r="D7" s="2" t="s">
        <v>231</v>
      </c>
      <c r="E7" s="2" t="s">
        <v>236</v>
      </c>
      <c r="F7" s="2" t="s">
        <v>239</v>
      </c>
      <c r="G7" s="2" t="s">
        <v>245</v>
      </c>
      <c r="H7" s="2">
        <v>16</v>
      </c>
      <c r="I7" t="str">
        <f t="shared" si="3"/>
        <v>11-20 Yrs</v>
      </c>
    </row>
    <row r="8" spans="1:9" hidden="1" x14ac:dyDescent="0.3">
      <c r="A8" s="2" t="s">
        <v>688</v>
      </c>
      <c r="B8" s="2">
        <v>40</v>
      </c>
      <c r="C8" s="2" t="str">
        <f t="shared" si="2"/>
        <v>30-40</v>
      </c>
      <c r="D8" s="2" t="s">
        <v>231</v>
      </c>
      <c r="E8" s="2" t="s">
        <v>236</v>
      </c>
      <c r="F8" s="2" t="s">
        <v>239</v>
      </c>
      <c r="G8" s="2" t="s">
        <v>244</v>
      </c>
      <c r="H8" s="2">
        <v>15</v>
      </c>
      <c r="I8" t="str">
        <f t="shared" si="3"/>
        <v>11-20 Yrs</v>
      </c>
    </row>
    <row r="9" spans="1:9" hidden="1" x14ac:dyDescent="0.3">
      <c r="A9" s="2" t="s">
        <v>1109</v>
      </c>
      <c r="B9" s="2">
        <v>31</v>
      </c>
      <c r="C9" s="2" t="str">
        <f t="shared" si="2"/>
        <v>30-40</v>
      </c>
      <c r="D9" s="2" t="s">
        <v>231</v>
      </c>
      <c r="E9" s="2" t="s">
        <v>235</v>
      </c>
      <c r="F9" s="2" t="s">
        <v>239</v>
      </c>
      <c r="G9" s="2" t="s">
        <v>245</v>
      </c>
      <c r="H9" s="2">
        <v>27</v>
      </c>
      <c r="I9" t="str">
        <f t="shared" si="3"/>
        <v>20 + Yrs</v>
      </c>
    </row>
    <row r="10" spans="1:9" x14ac:dyDescent="0.3">
      <c r="A10" s="2" t="s">
        <v>851</v>
      </c>
      <c r="B10" s="2">
        <v>25</v>
      </c>
      <c r="C10" s="2" t="str">
        <f t="shared" si="2"/>
        <v>&lt;30</v>
      </c>
      <c r="D10" s="2" t="s">
        <v>231</v>
      </c>
      <c r="E10" s="2" t="s">
        <v>234</v>
      </c>
      <c r="F10" s="2" t="s">
        <v>243</v>
      </c>
      <c r="G10" s="2" t="s">
        <v>246</v>
      </c>
      <c r="H10" s="2">
        <v>24</v>
      </c>
      <c r="I10" s="2" t="str">
        <f t="shared" si="3"/>
        <v>20 + Yrs</v>
      </c>
    </row>
    <row r="11" spans="1:9" x14ac:dyDescent="0.3">
      <c r="A11" s="2" t="s">
        <v>830</v>
      </c>
      <c r="B11" s="2">
        <v>26</v>
      </c>
      <c r="C11" s="2" t="str">
        <f t="shared" si="2"/>
        <v>&lt;30</v>
      </c>
      <c r="D11" s="2" t="s">
        <v>231</v>
      </c>
      <c r="E11" s="2" t="s">
        <v>234</v>
      </c>
      <c r="F11" s="2" t="s">
        <v>241</v>
      </c>
      <c r="G11" s="2" t="s">
        <v>246</v>
      </c>
      <c r="H11" s="2">
        <v>25</v>
      </c>
      <c r="I11" s="2" t="str">
        <f t="shared" si="3"/>
        <v>20 + Yrs</v>
      </c>
    </row>
    <row r="12" spans="1:9" hidden="1" x14ac:dyDescent="0.3">
      <c r="A12" s="2" t="s">
        <v>186</v>
      </c>
      <c r="B12" s="6">
        <v>38</v>
      </c>
      <c r="C12" s="6" t="str">
        <f t="shared" si="2"/>
        <v>30-40</v>
      </c>
      <c r="D12" s="6" t="s">
        <v>231</v>
      </c>
      <c r="E12" s="6" t="s">
        <v>233</v>
      </c>
      <c r="F12" s="6" t="s">
        <v>238</v>
      </c>
      <c r="G12" s="6" t="s">
        <v>245</v>
      </c>
      <c r="H12" s="6">
        <v>26</v>
      </c>
      <c r="I12" t="str">
        <f t="shared" si="3"/>
        <v>20 + Yrs</v>
      </c>
    </row>
    <row r="13" spans="1:9" x14ac:dyDescent="0.3">
      <c r="A13" s="2" t="s">
        <v>736</v>
      </c>
      <c r="B13" s="2">
        <v>27</v>
      </c>
      <c r="C13" s="2" t="str">
        <f t="shared" si="2"/>
        <v>&lt;30</v>
      </c>
      <c r="D13" s="2" t="s">
        <v>231</v>
      </c>
      <c r="E13" s="2" t="s">
        <v>235</v>
      </c>
      <c r="F13" s="2" t="s">
        <v>241</v>
      </c>
      <c r="G13" s="2" t="s">
        <v>246</v>
      </c>
      <c r="H13" s="2">
        <v>29</v>
      </c>
      <c r="I13" s="2" t="str">
        <f t="shared" si="3"/>
        <v>20 + Yrs</v>
      </c>
    </row>
    <row r="14" spans="1:9" hidden="1" x14ac:dyDescent="0.3">
      <c r="A14" s="2" t="s">
        <v>835</v>
      </c>
      <c r="B14" s="6">
        <v>52</v>
      </c>
      <c r="C14" s="6" t="str">
        <f t="shared" si="2"/>
        <v>50+</v>
      </c>
      <c r="D14" s="6" t="s">
        <v>232</v>
      </c>
      <c r="E14" s="6" t="s">
        <v>236</v>
      </c>
      <c r="F14" s="6" t="s">
        <v>242</v>
      </c>
      <c r="G14" s="6" t="s">
        <v>245</v>
      </c>
      <c r="H14" s="6">
        <v>9</v>
      </c>
      <c r="I14" t="str">
        <f t="shared" si="3"/>
        <v>5-10 Yrs</v>
      </c>
    </row>
    <row r="15" spans="1:9" x14ac:dyDescent="0.3">
      <c r="A15" s="2" t="s">
        <v>217</v>
      </c>
      <c r="B15" s="2">
        <v>27</v>
      </c>
      <c r="C15" s="2" t="str">
        <f t="shared" si="2"/>
        <v>&lt;30</v>
      </c>
      <c r="D15" s="2" t="s">
        <v>231</v>
      </c>
      <c r="E15" s="2" t="s">
        <v>236</v>
      </c>
      <c r="F15" s="2" t="s">
        <v>238</v>
      </c>
      <c r="G15" s="2" t="s">
        <v>246</v>
      </c>
      <c r="H15" s="2">
        <v>19</v>
      </c>
      <c r="I15" s="2" t="str">
        <f t="shared" si="3"/>
        <v>11-20 Yrs</v>
      </c>
    </row>
    <row r="16" spans="1:9" hidden="1" x14ac:dyDescent="0.3">
      <c r="A16" s="2" t="s">
        <v>669</v>
      </c>
      <c r="B16" s="6">
        <v>39</v>
      </c>
      <c r="C16" s="6" t="str">
        <f t="shared" si="2"/>
        <v>30-40</v>
      </c>
      <c r="D16" s="6" t="s">
        <v>231</v>
      </c>
      <c r="E16" s="6" t="s">
        <v>236</v>
      </c>
      <c r="F16" s="6" t="s">
        <v>243</v>
      </c>
      <c r="G16" s="6" t="s">
        <v>244</v>
      </c>
      <c r="H16" s="6">
        <v>26</v>
      </c>
      <c r="I16" t="str">
        <f t="shared" si="3"/>
        <v>20 + Yrs</v>
      </c>
    </row>
    <row r="17" spans="1:9" hidden="1" x14ac:dyDescent="0.3">
      <c r="A17" s="2" t="s">
        <v>924</v>
      </c>
      <c r="B17" s="2">
        <v>37</v>
      </c>
      <c r="C17" s="2" t="str">
        <f t="shared" si="2"/>
        <v>30-40</v>
      </c>
      <c r="D17" s="2" t="s">
        <v>232</v>
      </c>
      <c r="E17" s="2" t="s">
        <v>236</v>
      </c>
      <c r="F17" s="2" t="s">
        <v>243</v>
      </c>
      <c r="G17" s="2" t="s">
        <v>245</v>
      </c>
      <c r="H17" s="2">
        <v>1</v>
      </c>
      <c r="I17" t="str">
        <f t="shared" si="3"/>
        <v>0-4 Yrs</v>
      </c>
    </row>
    <row r="18" spans="1:9" hidden="1" x14ac:dyDescent="0.3">
      <c r="A18" s="2" t="s">
        <v>172</v>
      </c>
      <c r="B18" s="2">
        <v>50</v>
      </c>
      <c r="C18" s="2" t="str">
        <f t="shared" si="2"/>
        <v>40-50</v>
      </c>
      <c r="D18" s="2" t="s">
        <v>231</v>
      </c>
      <c r="E18" s="2" t="s">
        <v>236</v>
      </c>
      <c r="F18" s="2" t="s">
        <v>239</v>
      </c>
      <c r="G18" s="2" t="s">
        <v>245</v>
      </c>
      <c r="H18" s="2">
        <v>14</v>
      </c>
      <c r="I18" t="str">
        <f t="shared" si="3"/>
        <v>11-20 Yrs</v>
      </c>
    </row>
    <row r="19" spans="1:9" hidden="1" x14ac:dyDescent="0.3">
      <c r="A19" s="2" t="s">
        <v>138</v>
      </c>
      <c r="B19" s="2">
        <v>27</v>
      </c>
      <c r="C19" s="2" t="str">
        <f t="shared" si="2"/>
        <v>&lt;30</v>
      </c>
      <c r="D19" s="2" t="s">
        <v>231</v>
      </c>
      <c r="E19" s="2" t="s">
        <v>235</v>
      </c>
      <c r="F19" s="2" t="s">
        <v>241</v>
      </c>
      <c r="G19" s="2" t="s">
        <v>244</v>
      </c>
      <c r="H19" s="2">
        <v>30</v>
      </c>
      <c r="I19" t="str">
        <f t="shared" si="3"/>
        <v>20 + Yrs</v>
      </c>
    </row>
    <row r="20" spans="1:9" x14ac:dyDescent="0.3">
      <c r="A20" s="2" t="s">
        <v>913</v>
      </c>
      <c r="B20" s="2">
        <v>27</v>
      </c>
      <c r="C20" s="2" t="str">
        <f t="shared" si="2"/>
        <v>&lt;30</v>
      </c>
      <c r="D20" s="2" t="s">
        <v>231</v>
      </c>
      <c r="E20" s="2" t="s">
        <v>234</v>
      </c>
      <c r="F20" s="2" t="s">
        <v>241</v>
      </c>
      <c r="G20" s="2" t="s">
        <v>246</v>
      </c>
      <c r="H20" s="2">
        <v>14</v>
      </c>
      <c r="I20" s="2" t="str">
        <f t="shared" si="3"/>
        <v>11-20 Yrs</v>
      </c>
    </row>
    <row r="21" spans="1:9" hidden="1" x14ac:dyDescent="0.3">
      <c r="A21" s="2" t="s">
        <v>858</v>
      </c>
      <c r="B21" s="6">
        <v>30</v>
      </c>
      <c r="C21" s="6" t="str">
        <f t="shared" si="2"/>
        <v>30-40</v>
      </c>
      <c r="D21" s="6" t="s">
        <v>231</v>
      </c>
      <c r="E21" s="6" t="s">
        <v>234</v>
      </c>
      <c r="F21" s="6" t="s">
        <v>238</v>
      </c>
      <c r="G21" s="6" t="s">
        <v>245</v>
      </c>
      <c r="H21" s="6">
        <v>10</v>
      </c>
      <c r="I21" t="str">
        <f t="shared" si="3"/>
        <v>5-10 Yrs</v>
      </c>
    </row>
    <row r="22" spans="1:9" hidden="1" x14ac:dyDescent="0.3">
      <c r="A22" s="2" t="s">
        <v>932</v>
      </c>
      <c r="B22" s="2">
        <v>39</v>
      </c>
      <c r="C22" s="2" t="str">
        <f t="shared" si="2"/>
        <v>30-40</v>
      </c>
      <c r="D22" s="2" t="s">
        <v>232</v>
      </c>
      <c r="E22" s="2" t="s">
        <v>235</v>
      </c>
      <c r="F22" s="2" t="s">
        <v>240</v>
      </c>
      <c r="G22" s="2" t="s">
        <v>244</v>
      </c>
      <c r="H22" s="2">
        <v>25</v>
      </c>
      <c r="I22" t="str">
        <f t="shared" si="3"/>
        <v>20 + Yrs</v>
      </c>
    </row>
    <row r="23" spans="1:9" hidden="1" x14ac:dyDescent="0.3">
      <c r="A23" s="2" t="s">
        <v>142</v>
      </c>
      <c r="B23" s="2">
        <v>45</v>
      </c>
      <c r="C23" s="2" t="str">
        <f t="shared" si="2"/>
        <v>40-50</v>
      </c>
      <c r="D23" s="2" t="s">
        <v>232</v>
      </c>
      <c r="E23" s="2" t="s">
        <v>235</v>
      </c>
      <c r="F23" s="2" t="s">
        <v>239</v>
      </c>
      <c r="G23" s="2" t="s">
        <v>245</v>
      </c>
      <c r="H23" s="2">
        <v>17</v>
      </c>
      <c r="I23" t="str">
        <f t="shared" si="3"/>
        <v>11-20 Yrs</v>
      </c>
    </row>
    <row r="24" spans="1:9" x14ac:dyDescent="0.3">
      <c r="A24" s="2" t="s">
        <v>746</v>
      </c>
      <c r="B24" s="2">
        <v>27</v>
      </c>
      <c r="C24" s="2" t="str">
        <f t="shared" si="2"/>
        <v>&lt;30</v>
      </c>
      <c r="D24" s="2" t="s">
        <v>231</v>
      </c>
      <c r="E24" s="2" t="s">
        <v>234</v>
      </c>
      <c r="F24" s="2" t="s">
        <v>243</v>
      </c>
      <c r="G24" s="2" t="s">
        <v>246</v>
      </c>
      <c r="H24" s="2">
        <v>31</v>
      </c>
      <c r="I24" s="2" t="str">
        <f t="shared" si="3"/>
        <v>20 + Yrs</v>
      </c>
    </row>
    <row r="25" spans="1:9" hidden="1" x14ac:dyDescent="0.3">
      <c r="A25" s="2" t="s">
        <v>777</v>
      </c>
      <c r="B25" s="6">
        <v>51</v>
      </c>
      <c r="C25" s="6" t="str">
        <f t="shared" si="2"/>
        <v>50+</v>
      </c>
      <c r="D25" s="6" t="s">
        <v>232</v>
      </c>
      <c r="E25" s="6" t="s">
        <v>236</v>
      </c>
      <c r="F25" s="6" t="s">
        <v>240</v>
      </c>
      <c r="G25" s="6" t="s">
        <v>245</v>
      </c>
      <c r="H25" s="6">
        <v>30</v>
      </c>
      <c r="I25" t="str">
        <f t="shared" si="3"/>
        <v>20 + Yrs</v>
      </c>
    </row>
    <row r="26" spans="1:9" hidden="1" x14ac:dyDescent="0.3">
      <c r="A26" s="2" t="s">
        <v>888</v>
      </c>
      <c r="B26" s="2">
        <v>45</v>
      </c>
      <c r="C26" s="2" t="str">
        <f t="shared" si="2"/>
        <v>40-50</v>
      </c>
      <c r="D26" s="2" t="s">
        <v>231</v>
      </c>
      <c r="E26" s="2" t="s">
        <v>235</v>
      </c>
      <c r="F26" s="2" t="s">
        <v>238</v>
      </c>
      <c r="G26" s="2" t="s">
        <v>245</v>
      </c>
      <c r="H26" s="2">
        <v>17</v>
      </c>
      <c r="I26" t="str">
        <f t="shared" si="3"/>
        <v>11-20 Yrs</v>
      </c>
    </row>
    <row r="27" spans="1:9" hidden="1" x14ac:dyDescent="0.3">
      <c r="A27" s="2" t="s">
        <v>884</v>
      </c>
      <c r="B27" s="2">
        <v>44</v>
      </c>
      <c r="C27" s="2" t="str">
        <f t="shared" si="2"/>
        <v>40-50</v>
      </c>
      <c r="D27" s="2" t="s">
        <v>231</v>
      </c>
      <c r="E27" s="2" t="s">
        <v>237</v>
      </c>
      <c r="F27" s="2" t="s">
        <v>239</v>
      </c>
      <c r="G27" s="2" t="s">
        <v>245</v>
      </c>
      <c r="H27" s="2">
        <v>34</v>
      </c>
      <c r="I27" t="str">
        <f t="shared" si="3"/>
        <v>20 + Yrs</v>
      </c>
    </row>
    <row r="28" spans="1:9" hidden="1" x14ac:dyDescent="0.3">
      <c r="A28" s="2" t="s">
        <v>681</v>
      </c>
      <c r="B28" s="2">
        <v>37</v>
      </c>
      <c r="C28" s="2" t="str">
        <f t="shared" si="2"/>
        <v>30-40</v>
      </c>
      <c r="D28" s="2" t="s">
        <v>232</v>
      </c>
      <c r="E28" s="2" t="s">
        <v>234</v>
      </c>
      <c r="F28" s="2" t="s">
        <v>239</v>
      </c>
      <c r="G28" s="2" t="s">
        <v>244</v>
      </c>
      <c r="H28" s="2">
        <v>20</v>
      </c>
      <c r="I28" t="str">
        <f t="shared" si="3"/>
        <v>11-20 Yrs</v>
      </c>
    </row>
    <row r="29" spans="1:9" hidden="1" x14ac:dyDescent="0.3">
      <c r="A29" s="2" t="s">
        <v>739</v>
      </c>
      <c r="B29" s="2">
        <v>32</v>
      </c>
      <c r="C29" s="2" t="str">
        <f t="shared" si="2"/>
        <v>30-40</v>
      </c>
      <c r="D29" s="2" t="s">
        <v>231</v>
      </c>
      <c r="E29" s="2" t="s">
        <v>235</v>
      </c>
      <c r="F29" s="2" t="s">
        <v>240</v>
      </c>
      <c r="G29" s="2" t="s">
        <v>244</v>
      </c>
      <c r="H29" s="2">
        <v>4</v>
      </c>
      <c r="I29" t="str">
        <f t="shared" si="3"/>
        <v>0-4 Yrs</v>
      </c>
    </row>
    <row r="30" spans="1:9" x14ac:dyDescent="0.3">
      <c r="A30" s="2" t="s">
        <v>698</v>
      </c>
      <c r="B30" s="2">
        <v>27</v>
      </c>
      <c r="C30" s="2" t="str">
        <f t="shared" si="2"/>
        <v>&lt;30</v>
      </c>
      <c r="D30" s="2" t="s">
        <v>231</v>
      </c>
      <c r="E30" s="2" t="s">
        <v>233</v>
      </c>
      <c r="F30" s="2" t="s">
        <v>239</v>
      </c>
      <c r="G30" s="2" t="s">
        <v>246</v>
      </c>
      <c r="H30" s="2">
        <v>17</v>
      </c>
      <c r="I30" s="2" t="str">
        <f t="shared" si="3"/>
        <v>11-20 Yrs</v>
      </c>
    </row>
    <row r="31" spans="1:9" hidden="1" x14ac:dyDescent="0.3">
      <c r="A31" s="2" t="s">
        <v>190</v>
      </c>
      <c r="B31" s="6">
        <v>42</v>
      </c>
      <c r="C31" s="6" t="str">
        <f t="shared" si="2"/>
        <v>40-50</v>
      </c>
      <c r="D31" s="6" t="s">
        <v>231</v>
      </c>
      <c r="E31" s="6" t="s">
        <v>236</v>
      </c>
      <c r="F31" s="6" t="s">
        <v>242</v>
      </c>
      <c r="G31" s="6" t="s">
        <v>244</v>
      </c>
      <c r="H31" s="6">
        <v>20</v>
      </c>
      <c r="I31" t="str">
        <f t="shared" si="3"/>
        <v>11-20 Yrs</v>
      </c>
    </row>
    <row r="32" spans="1:9" x14ac:dyDescent="0.3">
      <c r="A32" s="2" t="s">
        <v>926</v>
      </c>
      <c r="B32" s="2">
        <v>27</v>
      </c>
      <c r="C32" s="2" t="str">
        <f t="shared" si="2"/>
        <v>&lt;30</v>
      </c>
      <c r="D32" s="2" t="s">
        <v>232</v>
      </c>
      <c r="E32" s="2" t="s">
        <v>236</v>
      </c>
      <c r="F32" s="2" t="s">
        <v>239</v>
      </c>
      <c r="G32" s="2" t="s">
        <v>246</v>
      </c>
      <c r="H32" s="2">
        <v>1</v>
      </c>
      <c r="I32" s="2" t="str">
        <f t="shared" si="3"/>
        <v>0-4 Yrs</v>
      </c>
    </row>
    <row r="33" spans="1:9" hidden="1" x14ac:dyDescent="0.3">
      <c r="A33" s="2" t="s">
        <v>828</v>
      </c>
      <c r="B33" s="6">
        <v>54</v>
      </c>
      <c r="C33" s="6" t="str">
        <f t="shared" si="2"/>
        <v>50+</v>
      </c>
      <c r="D33" s="6" t="s">
        <v>231</v>
      </c>
      <c r="E33" s="6" t="s">
        <v>233</v>
      </c>
      <c r="F33" s="6" t="s">
        <v>239</v>
      </c>
      <c r="G33" s="6" t="s">
        <v>245</v>
      </c>
      <c r="H33" s="6">
        <v>8</v>
      </c>
      <c r="I33" t="str">
        <f t="shared" si="3"/>
        <v>5-10 Yrs</v>
      </c>
    </row>
    <row r="34" spans="1:9" x14ac:dyDescent="0.3">
      <c r="A34" s="2" t="s">
        <v>759</v>
      </c>
      <c r="B34" s="2">
        <v>28</v>
      </c>
      <c r="C34" s="2" t="str">
        <f t="shared" si="2"/>
        <v>&lt;30</v>
      </c>
      <c r="D34" s="2" t="s">
        <v>232</v>
      </c>
      <c r="E34" s="2" t="s">
        <v>235</v>
      </c>
      <c r="F34" s="2" t="s">
        <v>241</v>
      </c>
      <c r="G34" s="2" t="s">
        <v>246</v>
      </c>
      <c r="H34" s="2">
        <v>31</v>
      </c>
      <c r="I34" s="2" t="str">
        <f t="shared" si="3"/>
        <v>20 + Yrs</v>
      </c>
    </row>
    <row r="35" spans="1:9" hidden="1" x14ac:dyDescent="0.3">
      <c r="A35" s="2" t="s">
        <v>133</v>
      </c>
      <c r="B35" s="6">
        <v>46</v>
      </c>
      <c r="C35" s="6" t="str">
        <f t="shared" si="2"/>
        <v>40-50</v>
      </c>
      <c r="D35" s="6" t="s">
        <v>231</v>
      </c>
      <c r="E35" s="6" t="s">
        <v>233</v>
      </c>
      <c r="F35" s="6" t="s">
        <v>242</v>
      </c>
      <c r="G35" s="6" t="s">
        <v>245</v>
      </c>
      <c r="H35" s="6">
        <v>20</v>
      </c>
      <c r="I35" t="str">
        <f t="shared" si="3"/>
        <v>11-20 Yrs</v>
      </c>
    </row>
    <row r="36" spans="1:9" hidden="1" x14ac:dyDescent="0.3">
      <c r="A36" s="2" t="s">
        <v>1111</v>
      </c>
      <c r="B36" s="2">
        <v>49</v>
      </c>
      <c r="C36" s="2" t="str">
        <f t="shared" si="2"/>
        <v>40-50</v>
      </c>
      <c r="D36" s="2" t="s">
        <v>231</v>
      </c>
      <c r="E36" s="2" t="s">
        <v>234</v>
      </c>
      <c r="F36" s="2" t="s">
        <v>240</v>
      </c>
      <c r="G36" s="2" t="s">
        <v>244</v>
      </c>
      <c r="H36" s="2">
        <v>9</v>
      </c>
      <c r="I36" t="str">
        <f t="shared" si="3"/>
        <v>5-10 Yrs</v>
      </c>
    </row>
    <row r="37" spans="1:9" x14ac:dyDescent="0.3">
      <c r="A37" s="2" t="s">
        <v>874</v>
      </c>
      <c r="B37" s="2">
        <v>28</v>
      </c>
      <c r="C37" s="2" t="str">
        <f t="shared" si="2"/>
        <v>&lt;30</v>
      </c>
      <c r="D37" s="2" t="s">
        <v>231</v>
      </c>
      <c r="E37" s="2" t="s">
        <v>237</v>
      </c>
      <c r="F37" s="2" t="s">
        <v>240</v>
      </c>
      <c r="G37" s="2" t="s">
        <v>246</v>
      </c>
      <c r="H37" s="2">
        <v>32</v>
      </c>
      <c r="I37" s="2" t="str">
        <f t="shared" si="3"/>
        <v>20 + Yrs</v>
      </c>
    </row>
    <row r="38" spans="1:9" hidden="1" x14ac:dyDescent="0.3">
      <c r="A38" s="2" t="s">
        <v>906</v>
      </c>
      <c r="B38" s="6">
        <v>35</v>
      </c>
      <c r="C38" s="6" t="str">
        <f t="shared" si="2"/>
        <v>30-40</v>
      </c>
      <c r="D38" s="6" t="s">
        <v>231</v>
      </c>
      <c r="E38" s="6" t="s">
        <v>236</v>
      </c>
      <c r="F38" s="6" t="s">
        <v>241</v>
      </c>
      <c r="G38" s="6" t="s">
        <v>245</v>
      </c>
      <c r="H38" s="6">
        <v>16</v>
      </c>
      <c r="I38" t="str">
        <f t="shared" si="3"/>
        <v>11-20 Yrs</v>
      </c>
    </row>
    <row r="39" spans="1:9" hidden="1" x14ac:dyDescent="0.3">
      <c r="A39" s="2" t="s">
        <v>221</v>
      </c>
      <c r="B39" s="2">
        <v>49</v>
      </c>
      <c r="C39" s="2" t="str">
        <f t="shared" si="2"/>
        <v>40-50</v>
      </c>
      <c r="D39" s="2" t="s">
        <v>232</v>
      </c>
      <c r="E39" s="2" t="s">
        <v>236</v>
      </c>
      <c r="F39" s="2" t="s">
        <v>238</v>
      </c>
      <c r="G39" s="2" t="s">
        <v>245</v>
      </c>
      <c r="H39" s="2">
        <v>23</v>
      </c>
      <c r="I39" t="str">
        <f t="shared" si="3"/>
        <v>20 + Yrs</v>
      </c>
    </row>
    <row r="40" spans="1:9" x14ac:dyDescent="0.3">
      <c r="A40" s="2" t="s">
        <v>933</v>
      </c>
      <c r="B40" s="2">
        <v>28</v>
      </c>
      <c r="C40" s="2" t="str">
        <f t="shared" si="2"/>
        <v>&lt;30</v>
      </c>
      <c r="D40" s="2" t="s">
        <v>231</v>
      </c>
      <c r="E40" s="2" t="s">
        <v>237</v>
      </c>
      <c r="F40" s="2" t="s">
        <v>242</v>
      </c>
      <c r="G40" s="2" t="s">
        <v>246</v>
      </c>
      <c r="H40" s="2">
        <v>19</v>
      </c>
      <c r="I40" s="2" t="str">
        <f t="shared" si="3"/>
        <v>11-20 Yrs</v>
      </c>
    </row>
    <row r="41" spans="1:9" hidden="1" x14ac:dyDescent="0.3">
      <c r="A41" s="2" t="s">
        <v>191</v>
      </c>
      <c r="B41" s="6">
        <v>41</v>
      </c>
      <c r="C41" s="6" t="str">
        <f t="shared" si="2"/>
        <v>40-50</v>
      </c>
      <c r="D41" s="6" t="s">
        <v>231</v>
      </c>
      <c r="E41" s="6" t="s">
        <v>236</v>
      </c>
      <c r="F41" s="6" t="s">
        <v>240</v>
      </c>
      <c r="G41" s="6" t="s">
        <v>245</v>
      </c>
      <c r="H41" s="6">
        <v>17</v>
      </c>
      <c r="I41" t="str">
        <f t="shared" si="3"/>
        <v>11-20 Yrs</v>
      </c>
    </row>
    <row r="42" spans="1:9" hidden="1" x14ac:dyDescent="0.3">
      <c r="A42" s="2" t="s">
        <v>722</v>
      </c>
      <c r="B42" s="2">
        <v>59</v>
      </c>
      <c r="C42" s="2" t="str">
        <f t="shared" si="2"/>
        <v>50+</v>
      </c>
      <c r="D42" s="2" t="s">
        <v>231</v>
      </c>
      <c r="E42" s="2" t="s">
        <v>235</v>
      </c>
      <c r="F42" s="2" t="s">
        <v>240</v>
      </c>
      <c r="G42" s="2" t="s">
        <v>245</v>
      </c>
      <c r="H42" s="2">
        <v>35</v>
      </c>
      <c r="I42" t="str">
        <f t="shared" si="3"/>
        <v>20 + Yrs</v>
      </c>
    </row>
    <row r="43" spans="1:9" hidden="1" x14ac:dyDescent="0.3">
      <c r="A43" s="2" t="s">
        <v>780</v>
      </c>
      <c r="B43" s="2">
        <v>50</v>
      </c>
      <c r="C43" s="2" t="str">
        <f t="shared" si="2"/>
        <v>40-50</v>
      </c>
      <c r="D43" s="2" t="s">
        <v>232</v>
      </c>
      <c r="E43" s="2" t="s">
        <v>234</v>
      </c>
      <c r="F43" s="2" t="s">
        <v>242</v>
      </c>
      <c r="G43" s="2" t="s">
        <v>245</v>
      </c>
      <c r="H43" s="2">
        <v>6</v>
      </c>
      <c r="I43" t="str">
        <f t="shared" si="3"/>
        <v>5-10 Yrs</v>
      </c>
    </row>
    <row r="44" spans="1:9" hidden="1" x14ac:dyDescent="0.3">
      <c r="A44" s="2" t="s">
        <v>854</v>
      </c>
      <c r="B44" s="2">
        <v>32</v>
      </c>
      <c r="C44" s="2" t="str">
        <f t="shared" si="2"/>
        <v>30-40</v>
      </c>
      <c r="D44" s="2" t="s">
        <v>231</v>
      </c>
      <c r="E44" s="2" t="s">
        <v>236</v>
      </c>
      <c r="F44" s="2" t="s">
        <v>238</v>
      </c>
      <c r="G44" s="2" t="s">
        <v>244</v>
      </c>
      <c r="H44" s="2">
        <v>23</v>
      </c>
      <c r="I44" t="str">
        <f t="shared" si="3"/>
        <v>20 + Yrs</v>
      </c>
    </row>
    <row r="45" spans="1:9" hidden="1" x14ac:dyDescent="0.3">
      <c r="A45" s="2" t="s">
        <v>152</v>
      </c>
      <c r="B45" s="2">
        <v>26</v>
      </c>
      <c r="C45" s="2" t="str">
        <f t="shared" si="2"/>
        <v>&lt;30</v>
      </c>
      <c r="D45" s="2" t="s">
        <v>231</v>
      </c>
      <c r="E45" s="2" t="s">
        <v>235</v>
      </c>
      <c r="F45" s="2" t="s">
        <v>240</v>
      </c>
      <c r="G45" s="2" t="s">
        <v>245</v>
      </c>
      <c r="H45" s="2">
        <v>7</v>
      </c>
      <c r="I45" t="str">
        <f t="shared" si="3"/>
        <v>5-10 Yrs</v>
      </c>
    </row>
    <row r="46" spans="1:9" x14ac:dyDescent="0.3">
      <c r="A46" s="2" t="s">
        <v>917</v>
      </c>
      <c r="B46" s="2">
        <v>28</v>
      </c>
      <c r="C46" s="2" t="str">
        <f t="shared" si="2"/>
        <v>&lt;30</v>
      </c>
      <c r="D46" s="2" t="s">
        <v>231</v>
      </c>
      <c r="E46" s="2" t="s">
        <v>233</v>
      </c>
      <c r="F46" s="2" t="s">
        <v>238</v>
      </c>
      <c r="G46" s="2" t="s">
        <v>246</v>
      </c>
      <c r="H46" s="2">
        <v>22</v>
      </c>
      <c r="I46" s="2" t="str">
        <f t="shared" si="3"/>
        <v>20 + Yrs</v>
      </c>
    </row>
    <row r="47" spans="1:9" hidden="1" x14ac:dyDescent="0.3">
      <c r="A47" s="2" t="s">
        <v>675</v>
      </c>
      <c r="B47" s="6">
        <v>28</v>
      </c>
      <c r="C47" s="6" t="str">
        <f t="shared" si="2"/>
        <v>&lt;30</v>
      </c>
      <c r="D47" s="6" t="s">
        <v>232</v>
      </c>
      <c r="E47" s="6" t="s">
        <v>237</v>
      </c>
      <c r="F47" s="6" t="s">
        <v>239</v>
      </c>
      <c r="G47" s="6" t="s">
        <v>245</v>
      </c>
      <c r="H47" s="6">
        <v>7</v>
      </c>
      <c r="I47" t="str">
        <f t="shared" si="3"/>
        <v>5-10 Yrs</v>
      </c>
    </row>
    <row r="48" spans="1:9" hidden="1" x14ac:dyDescent="0.3">
      <c r="A48" s="2" t="s">
        <v>213</v>
      </c>
      <c r="B48" s="2">
        <v>36</v>
      </c>
      <c r="C48" s="2" t="str">
        <f t="shared" si="2"/>
        <v>30-40</v>
      </c>
      <c r="D48" s="2" t="s">
        <v>231</v>
      </c>
      <c r="E48" s="2" t="s">
        <v>237</v>
      </c>
      <c r="F48" s="2" t="s">
        <v>243</v>
      </c>
      <c r="G48" s="2" t="s">
        <v>245</v>
      </c>
      <c r="H48" s="2">
        <v>5</v>
      </c>
      <c r="I48" t="str">
        <f t="shared" si="3"/>
        <v>5-10 Yrs</v>
      </c>
    </row>
    <row r="49" spans="1:9" x14ac:dyDescent="0.3">
      <c r="A49" s="2" t="s">
        <v>708</v>
      </c>
      <c r="B49" s="2">
        <v>28</v>
      </c>
      <c r="C49" s="2" t="str">
        <f t="shared" si="2"/>
        <v>&lt;30</v>
      </c>
      <c r="D49" s="2" t="s">
        <v>231</v>
      </c>
      <c r="E49" s="2" t="s">
        <v>236</v>
      </c>
      <c r="F49" s="2" t="s">
        <v>240</v>
      </c>
      <c r="G49" s="2" t="s">
        <v>246</v>
      </c>
      <c r="H49" s="2">
        <v>1</v>
      </c>
      <c r="I49" s="2" t="str">
        <f t="shared" si="3"/>
        <v>0-4 Yrs</v>
      </c>
    </row>
    <row r="50" spans="1:9" x14ac:dyDescent="0.3">
      <c r="A50" s="2" t="s">
        <v>678</v>
      </c>
      <c r="B50" s="2">
        <v>28</v>
      </c>
      <c r="C50" s="2" t="str">
        <f t="shared" si="2"/>
        <v>&lt;30</v>
      </c>
      <c r="D50" s="2" t="s">
        <v>232</v>
      </c>
      <c r="E50" s="2" t="s">
        <v>235</v>
      </c>
      <c r="F50" s="2" t="s">
        <v>241</v>
      </c>
      <c r="G50" s="2" t="s">
        <v>246</v>
      </c>
      <c r="H50" s="2">
        <v>14</v>
      </c>
      <c r="I50" s="2" t="str">
        <f t="shared" si="3"/>
        <v>11-20 Yrs</v>
      </c>
    </row>
    <row r="51" spans="1:9" hidden="1" x14ac:dyDescent="0.3">
      <c r="A51" s="2" t="s">
        <v>156</v>
      </c>
      <c r="B51" s="6">
        <v>26</v>
      </c>
      <c r="C51" s="6" t="str">
        <f t="shared" si="2"/>
        <v>&lt;30</v>
      </c>
      <c r="D51" s="6" t="s">
        <v>232</v>
      </c>
      <c r="E51" s="6" t="s">
        <v>234</v>
      </c>
      <c r="F51" s="6" t="s">
        <v>241</v>
      </c>
      <c r="G51" s="6" t="s">
        <v>245</v>
      </c>
      <c r="H51" s="6">
        <v>24</v>
      </c>
      <c r="I51" t="str">
        <f t="shared" si="3"/>
        <v>20 + Yrs</v>
      </c>
    </row>
    <row r="52" spans="1:9" hidden="1" x14ac:dyDescent="0.3">
      <c r="A52" s="2" t="s">
        <v>737</v>
      </c>
      <c r="B52" s="2">
        <v>31</v>
      </c>
      <c r="C52" s="2" t="str">
        <f t="shared" si="2"/>
        <v>30-40</v>
      </c>
      <c r="D52" s="2" t="s">
        <v>231</v>
      </c>
      <c r="E52" s="2" t="s">
        <v>233</v>
      </c>
      <c r="F52" s="2" t="s">
        <v>238</v>
      </c>
      <c r="G52" s="2" t="s">
        <v>244</v>
      </c>
      <c r="H52" s="2">
        <v>10</v>
      </c>
      <c r="I52" t="str">
        <f t="shared" si="3"/>
        <v>5-10 Yrs</v>
      </c>
    </row>
    <row r="53" spans="1:9" hidden="1" x14ac:dyDescent="0.3">
      <c r="A53" s="2" t="s">
        <v>947</v>
      </c>
      <c r="B53" s="2">
        <v>27</v>
      </c>
      <c r="C53" s="2" t="str">
        <f t="shared" si="2"/>
        <v>&lt;30</v>
      </c>
      <c r="D53" s="2" t="s">
        <v>231</v>
      </c>
      <c r="E53" s="2" t="s">
        <v>233</v>
      </c>
      <c r="F53" s="2" t="s">
        <v>239</v>
      </c>
      <c r="G53" s="2" t="s">
        <v>244</v>
      </c>
      <c r="H53" s="2">
        <v>6</v>
      </c>
      <c r="I53" t="str">
        <f t="shared" si="3"/>
        <v>5-10 Yrs</v>
      </c>
    </row>
    <row r="54" spans="1:9" hidden="1" x14ac:dyDescent="0.3">
      <c r="A54" s="2" t="s">
        <v>875</v>
      </c>
      <c r="B54" s="2">
        <v>58</v>
      </c>
      <c r="C54" s="2" t="str">
        <f t="shared" si="2"/>
        <v>50+</v>
      </c>
      <c r="D54" s="2" t="s">
        <v>231</v>
      </c>
      <c r="E54" s="2" t="s">
        <v>237</v>
      </c>
      <c r="F54" s="2" t="s">
        <v>238</v>
      </c>
      <c r="G54" s="2" t="s">
        <v>245</v>
      </c>
      <c r="H54" s="2">
        <v>24</v>
      </c>
      <c r="I54" t="str">
        <f t="shared" si="3"/>
        <v>20 + Yrs</v>
      </c>
    </row>
    <row r="55" spans="1:9" x14ac:dyDescent="0.3">
      <c r="A55" s="2" t="s">
        <v>767</v>
      </c>
      <c r="B55" s="2">
        <v>28</v>
      </c>
      <c r="C55" s="2" t="str">
        <f t="shared" si="2"/>
        <v>&lt;30</v>
      </c>
      <c r="D55" s="2" t="s">
        <v>231</v>
      </c>
      <c r="E55" s="2" t="s">
        <v>234</v>
      </c>
      <c r="F55" s="2" t="s">
        <v>242</v>
      </c>
      <c r="G55" s="2" t="s">
        <v>246</v>
      </c>
      <c r="H55" s="2">
        <v>7</v>
      </c>
      <c r="I55" s="2" t="str">
        <f t="shared" si="3"/>
        <v>5-10 Yrs</v>
      </c>
    </row>
    <row r="56" spans="1:9" x14ac:dyDescent="0.3">
      <c r="A56" s="2" t="s">
        <v>734</v>
      </c>
      <c r="B56" s="2">
        <v>28</v>
      </c>
      <c r="C56" s="2" t="str">
        <f t="shared" si="2"/>
        <v>&lt;30</v>
      </c>
      <c r="D56" s="2" t="s">
        <v>231</v>
      </c>
      <c r="E56" s="2" t="s">
        <v>235</v>
      </c>
      <c r="F56" s="2" t="s">
        <v>238</v>
      </c>
      <c r="G56" s="2" t="s">
        <v>246</v>
      </c>
      <c r="H56" s="2">
        <v>29</v>
      </c>
      <c r="I56" s="2" t="str">
        <f t="shared" si="3"/>
        <v>20 + Yrs</v>
      </c>
    </row>
    <row r="57" spans="1:9" x14ac:dyDescent="0.3">
      <c r="A57" s="2" t="s">
        <v>849</v>
      </c>
      <c r="B57" s="2">
        <v>28</v>
      </c>
      <c r="C57" s="2" t="str">
        <f t="shared" si="2"/>
        <v>&lt;30</v>
      </c>
      <c r="D57" s="2" t="s">
        <v>231</v>
      </c>
      <c r="E57" s="2" t="s">
        <v>233</v>
      </c>
      <c r="F57" s="2" t="s">
        <v>243</v>
      </c>
      <c r="G57" s="2" t="s">
        <v>246</v>
      </c>
      <c r="H57" s="2">
        <v>3</v>
      </c>
      <c r="I57" s="2" t="str">
        <f t="shared" si="3"/>
        <v>0-4 Yrs</v>
      </c>
    </row>
    <row r="58" spans="1:9" hidden="1" x14ac:dyDescent="0.3">
      <c r="A58" s="2" t="s">
        <v>147</v>
      </c>
      <c r="B58" s="6">
        <v>47</v>
      </c>
      <c r="C58" s="6" t="str">
        <f t="shared" si="2"/>
        <v>40-50</v>
      </c>
      <c r="D58" s="6" t="s">
        <v>231</v>
      </c>
      <c r="E58" s="6" t="s">
        <v>235</v>
      </c>
      <c r="F58" s="6" t="s">
        <v>242</v>
      </c>
      <c r="G58" s="6" t="s">
        <v>245</v>
      </c>
      <c r="H58" s="6">
        <v>33</v>
      </c>
      <c r="I58" t="str">
        <f t="shared" si="3"/>
        <v>20 + Yrs</v>
      </c>
    </row>
    <row r="59" spans="1:9" x14ac:dyDescent="0.3">
      <c r="A59" s="2" t="s">
        <v>772</v>
      </c>
      <c r="B59" s="2">
        <v>28</v>
      </c>
      <c r="C59" s="2" t="str">
        <f t="shared" si="2"/>
        <v>&lt;30</v>
      </c>
      <c r="D59" s="2" t="s">
        <v>232</v>
      </c>
      <c r="E59" s="2" t="s">
        <v>235</v>
      </c>
      <c r="F59" s="2" t="s">
        <v>242</v>
      </c>
      <c r="G59" s="2" t="s">
        <v>246</v>
      </c>
      <c r="H59" s="2">
        <v>19</v>
      </c>
      <c r="I59" s="2" t="str">
        <f t="shared" si="3"/>
        <v>11-20 Yrs</v>
      </c>
    </row>
    <row r="60" spans="1:9" hidden="1" x14ac:dyDescent="0.3">
      <c r="A60" s="2" t="s">
        <v>809</v>
      </c>
      <c r="B60" s="6">
        <v>51</v>
      </c>
      <c r="C60" s="6" t="str">
        <f t="shared" si="2"/>
        <v>50+</v>
      </c>
      <c r="D60" s="6" t="s">
        <v>231</v>
      </c>
      <c r="E60" s="6" t="s">
        <v>236</v>
      </c>
      <c r="F60" s="6" t="s">
        <v>241</v>
      </c>
      <c r="G60" s="6" t="s">
        <v>245</v>
      </c>
      <c r="H60" s="6">
        <v>5</v>
      </c>
      <c r="I60" t="str">
        <f t="shared" si="3"/>
        <v>5-10 Yrs</v>
      </c>
    </row>
    <row r="61" spans="1:9" hidden="1" x14ac:dyDescent="0.3">
      <c r="A61" s="2" t="s">
        <v>153</v>
      </c>
      <c r="B61" s="2">
        <v>46</v>
      </c>
      <c r="C61" s="2" t="str">
        <f t="shared" si="2"/>
        <v>40-50</v>
      </c>
      <c r="D61" s="2" t="s">
        <v>231</v>
      </c>
      <c r="E61" s="2" t="s">
        <v>234</v>
      </c>
      <c r="F61" s="2" t="s">
        <v>243</v>
      </c>
      <c r="G61" s="2" t="s">
        <v>245</v>
      </c>
      <c r="H61" s="2">
        <v>31</v>
      </c>
      <c r="I61" t="str">
        <f t="shared" si="3"/>
        <v>20 + Yrs</v>
      </c>
    </row>
    <row r="62" spans="1:9" hidden="1" x14ac:dyDescent="0.3">
      <c r="A62" s="2" t="s">
        <v>209</v>
      </c>
      <c r="B62" s="2">
        <v>42</v>
      </c>
      <c r="C62" s="2" t="str">
        <f t="shared" si="2"/>
        <v>40-50</v>
      </c>
      <c r="D62" s="2" t="s">
        <v>231</v>
      </c>
      <c r="E62" s="2" t="s">
        <v>233</v>
      </c>
      <c r="F62" s="2" t="s">
        <v>240</v>
      </c>
      <c r="G62" s="2" t="s">
        <v>245</v>
      </c>
      <c r="H62" s="2">
        <v>29</v>
      </c>
      <c r="I62" t="str">
        <f t="shared" si="3"/>
        <v>20 + Yrs</v>
      </c>
    </row>
    <row r="63" spans="1:9" x14ac:dyDescent="0.3">
      <c r="A63" s="2" t="s">
        <v>200</v>
      </c>
      <c r="B63" s="2">
        <v>29</v>
      </c>
      <c r="C63" s="2" t="str">
        <f t="shared" si="2"/>
        <v>&lt;30</v>
      </c>
      <c r="D63" s="2" t="s">
        <v>232</v>
      </c>
      <c r="E63" s="2" t="s">
        <v>235</v>
      </c>
      <c r="F63" s="2" t="s">
        <v>243</v>
      </c>
      <c r="G63" s="2" t="s">
        <v>246</v>
      </c>
      <c r="H63" s="2">
        <v>31</v>
      </c>
      <c r="I63" s="2" t="str">
        <f t="shared" si="3"/>
        <v>20 + Yrs</v>
      </c>
    </row>
    <row r="64" spans="1:9" x14ac:dyDescent="0.3">
      <c r="A64" s="2" t="s">
        <v>173</v>
      </c>
      <c r="B64" s="2">
        <v>29</v>
      </c>
      <c r="C64" s="2" t="str">
        <f t="shared" si="2"/>
        <v>&lt;30</v>
      </c>
      <c r="D64" s="2" t="s">
        <v>232</v>
      </c>
      <c r="E64" s="2" t="s">
        <v>233</v>
      </c>
      <c r="F64" s="2" t="s">
        <v>238</v>
      </c>
      <c r="G64" s="2" t="s">
        <v>246</v>
      </c>
      <c r="H64" s="2">
        <v>32</v>
      </c>
      <c r="I64" s="2" t="str">
        <f t="shared" si="3"/>
        <v>20 + Yrs</v>
      </c>
    </row>
    <row r="65" spans="1:9" x14ac:dyDescent="0.3">
      <c r="A65" s="2" t="s">
        <v>677</v>
      </c>
      <c r="B65" s="2">
        <v>29</v>
      </c>
      <c r="C65" s="2" t="str">
        <f t="shared" si="2"/>
        <v>&lt;30</v>
      </c>
      <c r="D65" s="2" t="s">
        <v>231</v>
      </c>
      <c r="E65" s="2" t="s">
        <v>237</v>
      </c>
      <c r="F65" s="2" t="s">
        <v>238</v>
      </c>
      <c r="G65" s="2" t="s">
        <v>246</v>
      </c>
      <c r="H65" s="2">
        <v>20</v>
      </c>
      <c r="I65" s="2" t="str">
        <f t="shared" si="3"/>
        <v>11-20 Yrs</v>
      </c>
    </row>
    <row r="66" spans="1:9" x14ac:dyDescent="0.3">
      <c r="A66" s="2" t="s">
        <v>679</v>
      </c>
      <c r="B66" s="2">
        <v>29</v>
      </c>
      <c r="C66" s="2" t="str">
        <f t="shared" si="2"/>
        <v>&lt;30</v>
      </c>
      <c r="D66" s="2" t="s">
        <v>231</v>
      </c>
      <c r="E66" s="2" t="s">
        <v>236</v>
      </c>
      <c r="F66" s="2" t="s">
        <v>242</v>
      </c>
      <c r="G66" s="2" t="s">
        <v>246</v>
      </c>
      <c r="H66" s="2">
        <v>16</v>
      </c>
      <c r="I66" s="2" t="str">
        <f t="shared" si="3"/>
        <v>11-20 Yrs</v>
      </c>
    </row>
    <row r="67" spans="1:9" hidden="1" x14ac:dyDescent="0.3">
      <c r="A67" s="2" t="s">
        <v>866</v>
      </c>
      <c r="B67" s="6">
        <v>47</v>
      </c>
      <c r="C67" s="6" t="str">
        <f t="shared" si="2"/>
        <v>40-50</v>
      </c>
      <c r="D67" s="6" t="s">
        <v>231</v>
      </c>
      <c r="E67" s="6" t="s">
        <v>233</v>
      </c>
      <c r="F67" s="6" t="s">
        <v>242</v>
      </c>
      <c r="G67" s="6" t="s">
        <v>245</v>
      </c>
      <c r="H67" s="6">
        <v>13</v>
      </c>
      <c r="I67" t="str">
        <f t="shared" si="3"/>
        <v>11-20 Yrs</v>
      </c>
    </row>
    <row r="68" spans="1:9" hidden="1" x14ac:dyDescent="0.3">
      <c r="A68" s="2" t="s">
        <v>139</v>
      </c>
      <c r="B68" s="2">
        <v>55</v>
      </c>
      <c r="C68" s="2" t="str">
        <f t="shared" si="2"/>
        <v>50+</v>
      </c>
      <c r="D68" s="2" t="s">
        <v>231</v>
      </c>
      <c r="E68" s="2" t="s">
        <v>235</v>
      </c>
      <c r="F68" s="2" t="s">
        <v>239</v>
      </c>
      <c r="G68" s="2" t="s">
        <v>245</v>
      </c>
      <c r="H68" s="2">
        <v>5</v>
      </c>
      <c r="I68" t="str">
        <f t="shared" si="3"/>
        <v>5-10 Yrs</v>
      </c>
    </row>
    <row r="69" spans="1:9" hidden="1" x14ac:dyDescent="0.3">
      <c r="A69" s="2" t="s">
        <v>873</v>
      </c>
      <c r="B69" s="2">
        <v>40</v>
      </c>
      <c r="C69" s="2" t="str">
        <f t="shared" ref="C69:C132" si="4">IF(B69&lt;30,"&lt;30",IF(B69&lt;=40,"30-40",IF(B69&lt;=50,"40-50",IF(B69&gt;50,"50+","Unknown"))))</f>
        <v>30-40</v>
      </c>
      <c r="D69" s="2" t="s">
        <v>231</v>
      </c>
      <c r="E69" s="2" t="s">
        <v>236</v>
      </c>
      <c r="F69" s="2" t="s">
        <v>242</v>
      </c>
      <c r="G69" s="2" t="s">
        <v>245</v>
      </c>
      <c r="H69" s="2">
        <v>25</v>
      </c>
      <c r="I69" t="str">
        <f t="shared" ref="I69:I132" si="5">IF(H69&lt;=4,"0-4 Yrs",IF(H69&lt;=10,"5-10 Yrs",IF(H69&lt;=20,"11-20 Yrs",IF(H69&gt;20,"20 + Yrs","Unknown"))))</f>
        <v>20 + Yrs</v>
      </c>
    </row>
    <row r="70" spans="1:9" x14ac:dyDescent="0.3">
      <c r="A70" s="2" t="s">
        <v>801</v>
      </c>
      <c r="B70" s="2">
        <v>29</v>
      </c>
      <c r="C70" s="2" t="str">
        <f t="shared" si="4"/>
        <v>&lt;30</v>
      </c>
      <c r="D70" s="2" t="s">
        <v>231</v>
      </c>
      <c r="E70" s="2" t="s">
        <v>237</v>
      </c>
      <c r="F70" s="2" t="s">
        <v>242</v>
      </c>
      <c r="G70" s="2" t="s">
        <v>246</v>
      </c>
      <c r="H70" s="2">
        <v>28</v>
      </c>
      <c r="I70" s="2" t="str">
        <f t="shared" si="5"/>
        <v>20 + Yrs</v>
      </c>
    </row>
    <row r="71" spans="1:9" hidden="1" x14ac:dyDescent="0.3">
      <c r="A71" s="2" t="s">
        <v>847</v>
      </c>
      <c r="B71" s="6">
        <v>33</v>
      </c>
      <c r="C71" s="6" t="str">
        <f t="shared" si="4"/>
        <v>30-40</v>
      </c>
      <c r="D71" s="6" t="s">
        <v>231</v>
      </c>
      <c r="E71" s="6" t="s">
        <v>235</v>
      </c>
      <c r="F71" s="6" t="s">
        <v>239</v>
      </c>
      <c r="G71" s="6" t="s">
        <v>245</v>
      </c>
      <c r="H71" s="6">
        <v>24</v>
      </c>
      <c r="I71" t="str">
        <f t="shared" si="5"/>
        <v>20 + Yrs</v>
      </c>
    </row>
    <row r="72" spans="1:9" x14ac:dyDescent="0.3">
      <c r="A72" s="2" t="s">
        <v>931</v>
      </c>
      <c r="B72" s="2">
        <v>29</v>
      </c>
      <c r="C72" s="2" t="str">
        <f t="shared" si="4"/>
        <v>&lt;30</v>
      </c>
      <c r="D72" s="2" t="s">
        <v>231</v>
      </c>
      <c r="E72" s="2" t="s">
        <v>237</v>
      </c>
      <c r="F72" s="2" t="s">
        <v>238</v>
      </c>
      <c r="G72" s="2" t="s">
        <v>246</v>
      </c>
      <c r="H72" s="2">
        <v>17</v>
      </c>
      <c r="I72" s="2" t="str">
        <f t="shared" si="5"/>
        <v>11-20 Yrs</v>
      </c>
    </row>
    <row r="73" spans="1:9" hidden="1" x14ac:dyDescent="0.3">
      <c r="A73" s="2" t="s">
        <v>883</v>
      </c>
      <c r="B73" s="6">
        <v>26</v>
      </c>
      <c r="C73" s="6" t="str">
        <f t="shared" si="4"/>
        <v>&lt;30</v>
      </c>
      <c r="D73" s="6" t="s">
        <v>232</v>
      </c>
      <c r="E73" s="6" t="s">
        <v>233</v>
      </c>
      <c r="F73" s="6" t="s">
        <v>240</v>
      </c>
      <c r="G73" s="6" t="s">
        <v>244</v>
      </c>
      <c r="H73" s="6">
        <v>27</v>
      </c>
      <c r="I73" t="str">
        <f t="shared" si="5"/>
        <v>20 + Yrs</v>
      </c>
    </row>
    <row r="74" spans="1:9" hidden="1" x14ac:dyDescent="0.3">
      <c r="A74" s="2" t="s">
        <v>942</v>
      </c>
      <c r="B74" s="2">
        <v>60</v>
      </c>
      <c r="C74" s="2" t="str">
        <f t="shared" si="4"/>
        <v>50+</v>
      </c>
      <c r="D74" s="2" t="s">
        <v>232</v>
      </c>
      <c r="E74" s="2" t="s">
        <v>234</v>
      </c>
      <c r="F74" s="2" t="s">
        <v>239</v>
      </c>
      <c r="G74" s="2" t="s">
        <v>245</v>
      </c>
      <c r="H74" s="2">
        <v>14</v>
      </c>
      <c r="I74" t="str">
        <f t="shared" si="5"/>
        <v>11-20 Yrs</v>
      </c>
    </row>
    <row r="75" spans="1:9" x14ac:dyDescent="0.3">
      <c r="A75" s="2" t="s">
        <v>886</v>
      </c>
      <c r="B75" s="2">
        <v>30</v>
      </c>
      <c r="C75" s="2" t="str">
        <f t="shared" si="4"/>
        <v>30-40</v>
      </c>
      <c r="D75" s="2" t="s">
        <v>231</v>
      </c>
      <c r="E75" s="2" t="s">
        <v>234</v>
      </c>
      <c r="F75" s="2" t="s">
        <v>238</v>
      </c>
      <c r="G75" s="2" t="s">
        <v>246</v>
      </c>
      <c r="H75" s="2">
        <v>5</v>
      </c>
      <c r="I75" s="2" t="str">
        <f t="shared" si="5"/>
        <v>5-10 Yrs</v>
      </c>
    </row>
    <row r="76" spans="1:9" x14ac:dyDescent="0.3">
      <c r="A76" s="2" t="s">
        <v>176</v>
      </c>
      <c r="B76" s="2">
        <v>30</v>
      </c>
      <c r="C76" s="2" t="str">
        <f t="shared" si="4"/>
        <v>30-40</v>
      </c>
      <c r="D76" s="2" t="s">
        <v>232</v>
      </c>
      <c r="E76" s="2" t="s">
        <v>237</v>
      </c>
      <c r="F76" s="2" t="s">
        <v>240</v>
      </c>
      <c r="G76" s="2" t="s">
        <v>246</v>
      </c>
      <c r="H76" s="2">
        <v>22</v>
      </c>
      <c r="I76" s="2" t="str">
        <f t="shared" si="5"/>
        <v>20 + Yrs</v>
      </c>
    </row>
    <row r="77" spans="1:9" x14ac:dyDescent="0.3">
      <c r="A77" s="2" t="s">
        <v>161</v>
      </c>
      <c r="B77" s="2">
        <v>30</v>
      </c>
      <c r="C77" s="2" t="str">
        <f t="shared" si="4"/>
        <v>30-40</v>
      </c>
      <c r="D77" s="2" t="s">
        <v>232</v>
      </c>
      <c r="E77" s="2" t="s">
        <v>235</v>
      </c>
      <c r="F77" s="2" t="s">
        <v>240</v>
      </c>
      <c r="G77" s="2" t="s">
        <v>246</v>
      </c>
      <c r="H77" s="2">
        <v>16</v>
      </c>
      <c r="I77" s="2" t="str">
        <f t="shared" si="5"/>
        <v>11-20 Yrs</v>
      </c>
    </row>
    <row r="78" spans="1:9" hidden="1" x14ac:dyDescent="0.3">
      <c r="A78" s="2" t="s">
        <v>145</v>
      </c>
      <c r="B78" s="6">
        <v>33</v>
      </c>
      <c r="C78" s="6" t="str">
        <f t="shared" si="4"/>
        <v>30-40</v>
      </c>
      <c r="D78" s="6" t="s">
        <v>232</v>
      </c>
      <c r="E78" s="6" t="s">
        <v>233</v>
      </c>
      <c r="F78" s="6" t="s">
        <v>238</v>
      </c>
      <c r="G78" s="6" t="s">
        <v>244</v>
      </c>
      <c r="H78" s="6">
        <v>17</v>
      </c>
      <c r="I78" t="str">
        <f t="shared" si="5"/>
        <v>11-20 Yrs</v>
      </c>
    </row>
    <row r="79" spans="1:9" x14ac:dyDescent="0.3">
      <c r="A79" s="2" t="s">
        <v>177</v>
      </c>
      <c r="B79" s="2">
        <v>30</v>
      </c>
      <c r="C79" s="2" t="str">
        <f t="shared" si="4"/>
        <v>30-40</v>
      </c>
      <c r="D79" s="2" t="s">
        <v>232</v>
      </c>
      <c r="E79" s="2" t="s">
        <v>236</v>
      </c>
      <c r="F79" s="2" t="s">
        <v>242</v>
      </c>
      <c r="G79" s="2" t="s">
        <v>246</v>
      </c>
      <c r="H79" s="2">
        <v>15</v>
      </c>
      <c r="I79" s="2" t="str">
        <f t="shared" si="5"/>
        <v>11-20 Yrs</v>
      </c>
    </row>
    <row r="80" spans="1:9" hidden="1" x14ac:dyDescent="0.3">
      <c r="A80" s="2" t="s">
        <v>674</v>
      </c>
      <c r="B80" s="6">
        <v>30</v>
      </c>
      <c r="C80" s="6" t="str">
        <f t="shared" si="4"/>
        <v>30-40</v>
      </c>
      <c r="D80" s="6" t="s">
        <v>231</v>
      </c>
      <c r="E80" s="6" t="s">
        <v>235</v>
      </c>
      <c r="F80" s="6" t="s">
        <v>242</v>
      </c>
      <c r="G80" s="6" t="s">
        <v>245</v>
      </c>
      <c r="H80" s="6">
        <v>9</v>
      </c>
      <c r="I80" t="str">
        <f t="shared" si="5"/>
        <v>5-10 Yrs</v>
      </c>
    </row>
    <row r="81" spans="1:9" x14ac:dyDescent="0.3">
      <c r="A81" s="2" t="s">
        <v>195</v>
      </c>
      <c r="B81" s="2">
        <v>30</v>
      </c>
      <c r="C81" s="2" t="str">
        <f t="shared" si="4"/>
        <v>30-40</v>
      </c>
      <c r="D81" s="2" t="s">
        <v>232</v>
      </c>
      <c r="E81" s="2" t="s">
        <v>236</v>
      </c>
      <c r="F81" s="2" t="s">
        <v>243</v>
      </c>
      <c r="G81" s="2" t="s">
        <v>246</v>
      </c>
      <c r="H81" s="2">
        <v>17</v>
      </c>
      <c r="I81" s="2" t="str">
        <f t="shared" si="5"/>
        <v>11-20 Yrs</v>
      </c>
    </row>
    <row r="82" spans="1:9" x14ac:dyDescent="0.3">
      <c r="A82" s="2" t="s">
        <v>848</v>
      </c>
      <c r="B82" s="2">
        <v>30</v>
      </c>
      <c r="C82" s="2" t="str">
        <f t="shared" si="4"/>
        <v>30-40</v>
      </c>
      <c r="D82" s="2" t="s">
        <v>231</v>
      </c>
      <c r="E82" s="2" t="s">
        <v>237</v>
      </c>
      <c r="F82" s="2" t="s">
        <v>239</v>
      </c>
      <c r="G82" s="2" t="s">
        <v>246</v>
      </c>
      <c r="H82" s="2">
        <v>18</v>
      </c>
      <c r="I82" s="2" t="str">
        <f t="shared" si="5"/>
        <v>11-20 Yrs</v>
      </c>
    </row>
    <row r="83" spans="1:9" x14ac:dyDescent="0.3">
      <c r="A83" s="2" t="s">
        <v>661</v>
      </c>
      <c r="B83" s="2">
        <v>30</v>
      </c>
      <c r="C83" s="2" t="str">
        <f t="shared" si="4"/>
        <v>30-40</v>
      </c>
      <c r="D83" s="2" t="s">
        <v>231</v>
      </c>
      <c r="E83" s="2" t="s">
        <v>234</v>
      </c>
      <c r="F83" s="2" t="s">
        <v>238</v>
      </c>
      <c r="G83" s="2" t="s">
        <v>246</v>
      </c>
      <c r="H83" s="2">
        <v>11</v>
      </c>
      <c r="I83" s="2" t="str">
        <f t="shared" si="5"/>
        <v>11-20 Yrs</v>
      </c>
    </row>
    <row r="84" spans="1:9" hidden="1" x14ac:dyDescent="0.3">
      <c r="A84" s="2" t="s">
        <v>724</v>
      </c>
      <c r="B84" s="6">
        <v>49</v>
      </c>
      <c r="C84" s="6" t="str">
        <f t="shared" si="4"/>
        <v>40-50</v>
      </c>
      <c r="D84" s="6" t="s">
        <v>231</v>
      </c>
      <c r="E84" s="6" t="s">
        <v>237</v>
      </c>
      <c r="F84" s="6" t="s">
        <v>240</v>
      </c>
      <c r="G84" s="6" t="s">
        <v>244</v>
      </c>
      <c r="H84" s="6">
        <v>15</v>
      </c>
      <c r="I84" t="str">
        <f t="shared" si="5"/>
        <v>11-20 Yrs</v>
      </c>
    </row>
    <row r="85" spans="1:9" x14ac:dyDescent="0.3">
      <c r="A85" s="2" t="s">
        <v>920</v>
      </c>
      <c r="B85" s="2">
        <v>30</v>
      </c>
      <c r="C85" s="2" t="str">
        <f t="shared" si="4"/>
        <v>30-40</v>
      </c>
      <c r="D85" s="2" t="s">
        <v>231</v>
      </c>
      <c r="E85" s="2" t="s">
        <v>236</v>
      </c>
      <c r="F85" s="2" t="s">
        <v>240</v>
      </c>
      <c r="G85" s="2" t="s">
        <v>246</v>
      </c>
      <c r="H85" s="2">
        <v>22</v>
      </c>
      <c r="I85" s="2" t="str">
        <f t="shared" si="5"/>
        <v>20 + Yrs</v>
      </c>
    </row>
    <row r="86" spans="1:9" hidden="1" x14ac:dyDescent="0.3">
      <c r="A86" s="2" t="s">
        <v>184</v>
      </c>
      <c r="B86" s="6">
        <v>56</v>
      </c>
      <c r="C86" s="6" t="str">
        <f t="shared" si="4"/>
        <v>50+</v>
      </c>
      <c r="D86" s="6" t="s">
        <v>232</v>
      </c>
      <c r="E86" s="6" t="s">
        <v>236</v>
      </c>
      <c r="F86" s="6" t="s">
        <v>243</v>
      </c>
      <c r="G86" s="6" t="s">
        <v>245</v>
      </c>
      <c r="H86" s="6">
        <v>21</v>
      </c>
      <c r="I86" t="str">
        <f t="shared" si="5"/>
        <v>20 + Yrs</v>
      </c>
    </row>
    <row r="87" spans="1:9" hidden="1" x14ac:dyDescent="0.3">
      <c r="A87" s="2" t="s">
        <v>766</v>
      </c>
      <c r="B87" s="2">
        <v>56</v>
      </c>
      <c r="C87" s="2" t="str">
        <f t="shared" si="4"/>
        <v>50+</v>
      </c>
      <c r="D87" s="2" t="s">
        <v>231</v>
      </c>
      <c r="E87" s="2" t="s">
        <v>235</v>
      </c>
      <c r="F87" s="2" t="s">
        <v>240</v>
      </c>
      <c r="G87" s="2" t="s">
        <v>244</v>
      </c>
      <c r="H87" s="2">
        <v>23</v>
      </c>
      <c r="I87" t="str">
        <f t="shared" si="5"/>
        <v>20 + Yrs</v>
      </c>
    </row>
    <row r="88" spans="1:9" x14ac:dyDescent="0.3">
      <c r="A88" s="2" t="s">
        <v>1108</v>
      </c>
      <c r="B88" s="2">
        <v>31</v>
      </c>
      <c r="C88" s="2" t="str">
        <f t="shared" si="4"/>
        <v>30-40</v>
      </c>
      <c r="D88" s="2" t="s">
        <v>232</v>
      </c>
      <c r="E88" s="2" t="s">
        <v>237</v>
      </c>
      <c r="F88" s="2" t="s">
        <v>240</v>
      </c>
      <c r="G88" s="2" t="s">
        <v>246</v>
      </c>
      <c r="H88" s="2">
        <v>10</v>
      </c>
      <c r="I88" s="2" t="str">
        <f t="shared" si="5"/>
        <v>5-10 Yrs</v>
      </c>
    </row>
    <row r="89" spans="1:9" x14ac:dyDescent="0.3">
      <c r="A89" s="2" t="s">
        <v>204</v>
      </c>
      <c r="B89" s="2">
        <v>31</v>
      </c>
      <c r="C89" s="2" t="str">
        <f t="shared" si="4"/>
        <v>30-40</v>
      </c>
      <c r="D89" s="2" t="s">
        <v>231</v>
      </c>
      <c r="E89" s="2" t="s">
        <v>235</v>
      </c>
      <c r="F89" s="2" t="s">
        <v>240</v>
      </c>
      <c r="G89" s="2" t="s">
        <v>246</v>
      </c>
      <c r="H89" s="2">
        <v>28</v>
      </c>
      <c r="I89" s="2" t="str">
        <f t="shared" si="5"/>
        <v>20 + Yrs</v>
      </c>
    </row>
    <row r="90" spans="1:9" x14ac:dyDescent="0.3">
      <c r="A90" s="2" t="s">
        <v>876</v>
      </c>
      <c r="B90" s="2">
        <v>31</v>
      </c>
      <c r="C90" s="2" t="str">
        <f t="shared" si="4"/>
        <v>30-40</v>
      </c>
      <c r="D90" s="2" t="s">
        <v>232</v>
      </c>
      <c r="E90" s="2" t="s">
        <v>235</v>
      </c>
      <c r="F90" s="2" t="s">
        <v>243</v>
      </c>
      <c r="G90" s="2" t="s">
        <v>246</v>
      </c>
      <c r="H90" s="2">
        <v>5</v>
      </c>
      <c r="I90" s="2" t="str">
        <f t="shared" si="5"/>
        <v>5-10 Yrs</v>
      </c>
    </row>
    <row r="91" spans="1:9" hidden="1" x14ac:dyDescent="0.3">
      <c r="A91" s="2" t="s">
        <v>796</v>
      </c>
      <c r="B91" s="6">
        <v>57</v>
      </c>
      <c r="C91" s="6" t="str">
        <f t="shared" si="4"/>
        <v>50+</v>
      </c>
      <c r="D91" s="6" t="s">
        <v>231</v>
      </c>
      <c r="E91" s="6" t="s">
        <v>233</v>
      </c>
      <c r="F91" s="6" t="s">
        <v>242</v>
      </c>
      <c r="G91" s="6" t="s">
        <v>244</v>
      </c>
      <c r="H91" s="6">
        <v>28</v>
      </c>
      <c r="I91" t="str">
        <f t="shared" si="5"/>
        <v>20 + Yrs</v>
      </c>
    </row>
    <row r="92" spans="1:9" hidden="1" x14ac:dyDescent="0.3">
      <c r="A92" s="2" t="s">
        <v>745</v>
      </c>
      <c r="B92" s="2">
        <v>29</v>
      </c>
      <c r="C92" s="2" t="str">
        <f t="shared" si="4"/>
        <v>&lt;30</v>
      </c>
      <c r="D92" s="2" t="s">
        <v>231</v>
      </c>
      <c r="E92" s="2" t="s">
        <v>233</v>
      </c>
      <c r="F92" s="2" t="s">
        <v>238</v>
      </c>
      <c r="G92" s="2" t="s">
        <v>245</v>
      </c>
      <c r="H92" s="2">
        <v>10</v>
      </c>
      <c r="I92" t="str">
        <f t="shared" si="5"/>
        <v>5-10 Yrs</v>
      </c>
    </row>
    <row r="93" spans="1:9" hidden="1" x14ac:dyDescent="0.3">
      <c r="A93" s="2" t="s">
        <v>870</v>
      </c>
      <c r="B93" s="2">
        <v>45</v>
      </c>
      <c r="C93" s="2" t="str">
        <f t="shared" si="4"/>
        <v>40-50</v>
      </c>
      <c r="D93" s="2" t="s">
        <v>232</v>
      </c>
      <c r="E93" s="2" t="s">
        <v>236</v>
      </c>
      <c r="F93" s="2" t="s">
        <v>239</v>
      </c>
      <c r="G93" s="2" t="s">
        <v>245</v>
      </c>
      <c r="H93" s="2">
        <v>25</v>
      </c>
      <c r="I93" t="str">
        <f t="shared" si="5"/>
        <v>20 + Yrs</v>
      </c>
    </row>
    <row r="94" spans="1:9" x14ac:dyDescent="0.3">
      <c r="A94" s="2" t="s">
        <v>715</v>
      </c>
      <c r="B94" s="2">
        <v>31</v>
      </c>
      <c r="C94" s="2" t="str">
        <f t="shared" si="4"/>
        <v>30-40</v>
      </c>
      <c r="D94" s="2" t="s">
        <v>231</v>
      </c>
      <c r="E94" s="2" t="s">
        <v>234</v>
      </c>
      <c r="F94" s="2" t="s">
        <v>241</v>
      </c>
      <c r="G94" s="2" t="s">
        <v>246</v>
      </c>
      <c r="H94" s="2">
        <v>15</v>
      </c>
      <c r="I94" s="2" t="str">
        <f t="shared" si="5"/>
        <v>11-20 Yrs</v>
      </c>
    </row>
    <row r="95" spans="1:9" hidden="1" x14ac:dyDescent="0.3">
      <c r="A95" s="2" t="s">
        <v>893</v>
      </c>
      <c r="B95" s="6">
        <v>45</v>
      </c>
      <c r="C95" s="6" t="str">
        <f t="shared" si="4"/>
        <v>40-50</v>
      </c>
      <c r="D95" s="6" t="s">
        <v>232</v>
      </c>
      <c r="E95" s="6" t="s">
        <v>235</v>
      </c>
      <c r="F95" s="6" t="s">
        <v>241</v>
      </c>
      <c r="G95" s="6" t="s">
        <v>244</v>
      </c>
      <c r="H95" s="6">
        <v>21</v>
      </c>
      <c r="I95" t="str">
        <f t="shared" si="5"/>
        <v>20 + Yrs</v>
      </c>
    </row>
    <row r="96" spans="1:9" hidden="1" x14ac:dyDescent="0.3">
      <c r="A96" s="2" t="s">
        <v>892</v>
      </c>
      <c r="B96" s="2">
        <v>49</v>
      </c>
      <c r="C96" s="2" t="str">
        <f t="shared" si="4"/>
        <v>40-50</v>
      </c>
      <c r="D96" s="2" t="s">
        <v>231</v>
      </c>
      <c r="E96" s="2" t="s">
        <v>235</v>
      </c>
      <c r="F96" s="2" t="s">
        <v>241</v>
      </c>
      <c r="G96" s="2" t="s">
        <v>245</v>
      </c>
      <c r="H96" s="2">
        <v>26</v>
      </c>
      <c r="I96" t="str">
        <f t="shared" si="5"/>
        <v>20 + Yrs</v>
      </c>
    </row>
    <row r="97" spans="1:9" x14ac:dyDescent="0.3">
      <c r="A97" s="2" t="s">
        <v>1110</v>
      </c>
      <c r="B97" s="2">
        <v>31</v>
      </c>
      <c r="C97" s="2" t="str">
        <f t="shared" si="4"/>
        <v>30-40</v>
      </c>
      <c r="D97" s="2" t="s">
        <v>231</v>
      </c>
      <c r="E97" s="2" t="s">
        <v>236</v>
      </c>
      <c r="F97" s="2" t="s">
        <v>242</v>
      </c>
      <c r="G97" s="2" t="s">
        <v>246</v>
      </c>
      <c r="H97" s="2">
        <v>30</v>
      </c>
      <c r="I97" s="2" t="str">
        <f t="shared" si="5"/>
        <v>20 + Yrs</v>
      </c>
    </row>
    <row r="98" spans="1:9" hidden="1" x14ac:dyDescent="0.3">
      <c r="A98" s="2" t="s">
        <v>832</v>
      </c>
      <c r="B98" s="6">
        <v>55</v>
      </c>
      <c r="C98" s="6" t="str">
        <f t="shared" si="4"/>
        <v>50+</v>
      </c>
      <c r="D98" s="6" t="s">
        <v>232</v>
      </c>
      <c r="E98" s="6" t="s">
        <v>235</v>
      </c>
      <c r="F98" s="6" t="s">
        <v>242</v>
      </c>
      <c r="G98" s="6" t="s">
        <v>245</v>
      </c>
      <c r="H98" s="6">
        <v>29</v>
      </c>
      <c r="I98" t="str">
        <f t="shared" si="5"/>
        <v>20 + Yrs</v>
      </c>
    </row>
    <row r="99" spans="1:9" hidden="1" x14ac:dyDescent="0.3">
      <c r="A99" s="2" t="s">
        <v>208</v>
      </c>
      <c r="B99" s="2">
        <v>26</v>
      </c>
      <c r="C99" s="2" t="str">
        <f t="shared" si="4"/>
        <v>&lt;30</v>
      </c>
      <c r="D99" s="2" t="s">
        <v>231</v>
      </c>
      <c r="E99" s="2" t="s">
        <v>237</v>
      </c>
      <c r="F99" s="2" t="s">
        <v>238</v>
      </c>
      <c r="G99" s="2" t="s">
        <v>245</v>
      </c>
      <c r="H99" s="2">
        <v>28</v>
      </c>
      <c r="I99" t="str">
        <f t="shared" si="5"/>
        <v>20 + Yrs</v>
      </c>
    </row>
    <row r="100" spans="1:9" x14ac:dyDescent="0.3">
      <c r="A100" s="2" t="s">
        <v>676</v>
      </c>
      <c r="B100" s="2">
        <v>31</v>
      </c>
      <c r="C100" s="2" t="str">
        <f t="shared" si="4"/>
        <v>30-40</v>
      </c>
      <c r="D100" s="2" t="s">
        <v>231</v>
      </c>
      <c r="E100" s="2" t="s">
        <v>235</v>
      </c>
      <c r="F100" s="2" t="s">
        <v>242</v>
      </c>
      <c r="G100" s="2" t="s">
        <v>246</v>
      </c>
      <c r="H100" s="2">
        <v>25</v>
      </c>
      <c r="I100" s="2" t="str">
        <f t="shared" si="5"/>
        <v>20 + Yrs</v>
      </c>
    </row>
    <row r="101" spans="1:9" hidden="1" x14ac:dyDescent="0.3">
      <c r="A101" s="2" t="s">
        <v>769</v>
      </c>
      <c r="B101" s="6">
        <v>43</v>
      </c>
      <c r="C101" s="6" t="str">
        <f t="shared" si="4"/>
        <v>40-50</v>
      </c>
      <c r="D101" s="6" t="s">
        <v>231</v>
      </c>
      <c r="E101" s="6" t="s">
        <v>234</v>
      </c>
      <c r="F101" s="6" t="s">
        <v>239</v>
      </c>
      <c r="G101" s="6" t="s">
        <v>245</v>
      </c>
      <c r="H101" s="6">
        <v>4</v>
      </c>
      <c r="I101" t="str">
        <f t="shared" si="5"/>
        <v>0-4 Yrs</v>
      </c>
    </row>
    <row r="102" spans="1:9" hidden="1" x14ac:dyDescent="0.3">
      <c r="A102" s="2" t="s">
        <v>786</v>
      </c>
      <c r="B102" s="2">
        <v>44</v>
      </c>
      <c r="C102" s="2" t="str">
        <f t="shared" si="4"/>
        <v>40-50</v>
      </c>
      <c r="D102" s="2" t="s">
        <v>232</v>
      </c>
      <c r="E102" s="2" t="s">
        <v>237</v>
      </c>
      <c r="F102" s="2" t="s">
        <v>238</v>
      </c>
      <c r="G102" s="2" t="s">
        <v>244</v>
      </c>
      <c r="H102" s="2">
        <v>18</v>
      </c>
      <c r="I102" t="str">
        <f t="shared" si="5"/>
        <v>11-20 Yrs</v>
      </c>
    </row>
    <row r="103" spans="1:9" hidden="1" x14ac:dyDescent="0.3">
      <c r="A103" s="2" t="s">
        <v>203</v>
      </c>
      <c r="B103" s="2">
        <v>43</v>
      </c>
      <c r="C103" s="2" t="str">
        <f t="shared" si="4"/>
        <v>40-50</v>
      </c>
      <c r="D103" s="2" t="s">
        <v>231</v>
      </c>
      <c r="E103" s="2" t="s">
        <v>235</v>
      </c>
      <c r="F103" s="2" t="s">
        <v>242</v>
      </c>
      <c r="G103" s="2" t="s">
        <v>244</v>
      </c>
      <c r="H103" s="2">
        <v>9</v>
      </c>
      <c r="I103" t="str">
        <f t="shared" si="5"/>
        <v>5-10 Yrs</v>
      </c>
    </row>
    <row r="104" spans="1:9" x14ac:dyDescent="0.3">
      <c r="A104" s="2" t="s">
        <v>810</v>
      </c>
      <c r="B104" s="2">
        <v>31</v>
      </c>
      <c r="C104" s="2" t="str">
        <f t="shared" si="4"/>
        <v>30-40</v>
      </c>
      <c r="D104" s="2" t="s">
        <v>231</v>
      </c>
      <c r="E104" s="2" t="s">
        <v>234</v>
      </c>
      <c r="F104" s="2" t="s">
        <v>243</v>
      </c>
      <c r="G104" s="2" t="s">
        <v>246</v>
      </c>
      <c r="H104" s="2">
        <v>10</v>
      </c>
      <c r="I104" s="2" t="str">
        <f t="shared" si="5"/>
        <v>5-10 Yrs</v>
      </c>
    </row>
    <row r="105" spans="1:9" hidden="1" x14ac:dyDescent="0.3">
      <c r="A105" s="2" t="s">
        <v>699</v>
      </c>
      <c r="B105" s="6">
        <v>49</v>
      </c>
      <c r="C105" s="6" t="str">
        <f t="shared" si="4"/>
        <v>40-50</v>
      </c>
      <c r="D105" s="6" t="s">
        <v>232</v>
      </c>
      <c r="E105" s="6" t="s">
        <v>236</v>
      </c>
      <c r="F105" s="6" t="s">
        <v>243</v>
      </c>
      <c r="G105" s="6" t="s">
        <v>244</v>
      </c>
      <c r="H105" s="6">
        <v>22</v>
      </c>
      <c r="I105" t="str">
        <f t="shared" si="5"/>
        <v>20 + Yrs</v>
      </c>
    </row>
    <row r="106" spans="1:9" hidden="1" x14ac:dyDescent="0.3">
      <c r="A106" s="2" t="s">
        <v>949</v>
      </c>
      <c r="B106" s="2">
        <v>36</v>
      </c>
      <c r="C106" s="2" t="str">
        <f t="shared" si="4"/>
        <v>30-40</v>
      </c>
      <c r="D106" s="2" t="s">
        <v>231</v>
      </c>
      <c r="E106" s="2" t="s">
        <v>237</v>
      </c>
      <c r="F106" s="2" t="s">
        <v>240</v>
      </c>
      <c r="G106" s="2" t="s">
        <v>245</v>
      </c>
      <c r="H106" s="2">
        <v>14</v>
      </c>
      <c r="I106" t="str">
        <f t="shared" si="5"/>
        <v>11-20 Yrs</v>
      </c>
    </row>
    <row r="107" spans="1:9" hidden="1" x14ac:dyDescent="0.3">
      <c r="A107" s="2" t="s">
        <v>885</v>
      </c>
      <c r="B107" s="2">
        <v>42</v>
      </c>
      <c r="C107" s="2" t="str">
        <f t="shared" si="4"/>
        <v>40-50</v>
      </c>
      <c r="D107" s="2" t="s">
        <v>231</v>
      </c>
      <c r="E107" s="2" t="s">
        <v>236</v>
      </c>
      <c r="F107" s="2" t="s">
        <v>238</v>
      </c>
      <c r="G107" s="2" t="s">
        <v>245</v>
      </c>
      <c r="H107" s="2">
        <v>5</v>
      </c>
      <c r="I107" t="str">
        <f t="shared" si="5"/>
        <v>5-10 Yrs</v>
      </c>
    </row>
    <row r="108" spans="1:9" hidden="1" x14ac:dyDescent="0.3">
      <c r="A108" s="2" t="s">
        <v>901</v>
      </c>
      <c r="B108" s="2">
        <v>50</v>
      </c>
      <c r="C108" s="2" t="str">
        <f t="shared" si="4"/>
        <v>40-50</v>
      </c>
      <c r="D108" s="2" t="s">
        <v>231</v>
      </c>
      <c r="E108" s="2" t="s">
        <v>237</v>
      </c>
      <c r="F108" s="2" t="s">
        <v>240</v>
      </c>
      <c r="G108" s="2" t="s">
        <v>245</v>
      </c>
      <c r="H108" s="2">
        <v>19</v>
      </c>
      <c r="I108" t="str">
        <f t="shared" si="5"/>
        <v>11-20 Yrs</v>
      </c>
    </row>
    <row r="109" spans="1:9" hidden="1" x14ac:dyDescent="0.3">
      <c r="A109" s="2" t="s">
        <v>795</v>
      </c>
      <c r="B109" s="2">
        <v>46</v>
      </c>
      <c r="C109" s="2" t="str">
        <f t="shared" si="4"/>
        <v>40-50</v>
      </c>
      <c r="D109" s="2" t="s">
        <v>232</v>
      </c>
      <c r="E109" s="2" t="s">
        <v>234</v>
      </c>
      <c r="F109" s="2" t="s">
        <v>241</v>
      </c>
      <c r="G109" s="2" t="s">
        <v>244</v>
      </c>
      <c r="H109" s="2">
        <v>10</v>
      </c>
      <c r="I109" t="str">
        <f t="shared" si="5"/>
        <v>5-10 Yrs</v>
      </c>
    </row>
    <row r="110" spans="1:9" hidden="1" x14ac:dyDescent="0.3">
      <c r="A110" s="2" t="s">
        <v>899</v>
      </c>
      <c r="B110" s="2">
        <v>42</v>
      </c>
      <c r="C110" s="2" t="str">
        <f t="shared" si="4"/>
        <v>40-50</v>
      </c>
      <c r="D110" s="2" t="s">
        <v>231</v>
      </c>
      <c r="E110" s="2" t="s">
        <v>234</v>
      </c>
      <c r="F110" s="2" t="s">
        <v>241</v>
      </c>
      <c r="G110" s="2" t="s">
        <v>244</v>
      </c>
      <c r="H110" s="2">
        <v>3</v>
      </c>
      <c r="I110" t="str">
        <f t="shared" si="5"/>
        <v>0-4 Yrs</v>
      </c>
    </row>
    <row r="111" spans="1:9" hidden="1" x14ac:dyDescent="0.3">
      <c r="A111" s="2" t="s">
        <v>131</v>
      </c>
      <c r="B111" s="2">
        <v>26</v>
      </c>
      <c r="C111" s="2" t="str">
        <f t="shared" si="4"/>
        <v>&lt;30</v>
      </c>
      <c r="D111" s="2" t="s">
        <v>231</v>
      </c>
      <c r="E111" s="2" t="s">
        <v>237</v>
      </c>
      <c r="F111" s="2" t="s">
        <v>241</v>
      </c>
      <c r="G111" s="2" t="s">
        <v>244</v>
      </c>
      <c r="H111" s="2">
        <v>10</v>
      </c>
      <c r="I111" t="str">
        <f t="shared" si="5"/>
        <v>5-10 Yrs</v>
      </c>
    </row>
    <row r="112" spans="1:9" hidden="1" x14ac:dyDescent="0.3">
      <c r="A112" s="2" t="s">
        <v>841</v>
      </c>
      <c r="B112" s="2">
        <v>56</v>
      </c>
      <c r="C112" s="2" t="str">
        <f t="shared" si="4"/>
        <v>50+</v>
      </c>
      <c r="D112" s="2" t="s">
        <v>231</v>
      </c>
      <c r="E112" s="2" t="s">
        <v>237</v>
      </c>
      <c r="F112" s="2" t="s">
        <v>240</v>
      </c>
      <c r="G112" s="2" t="s">
        <v>244</v>
      </c>
      <c r="H112" s="2">
        <v>29</v>
      </c>
      <c r="I112" t="str">
        <f t="shared" si="5"/>
        <v>20 + Yrs</v>
      </c>
    </row>
    <row r="113" spans="1:9" x14ac:dyDescent="0.3">
      <c r="A113" s="2" t="s">
        <v>228</v>
      </c>
      <c r="B113" s="2">
        <v>32</v>
      </c>
      <c r="C113" s="2" t="str">
        <f t="shared" si="4"/>
        <v>30-40</v>
      </c>
      <c r="D113" s="2" t="s">
        <v>231</v>
      </c>
      <c r="E113" s="2" t="s">
        <v>233</v>
      </c>
      <c r="F113" s="2" t="s">
        <v>240</v>
      </c>
      <c r="G113" s="2" t="s">
        <v>246</v>
      </c>
      <c r="H113" s="2">
        <v>12</v>
      </c>
      <c r="I113" s="2" t="str">
        <f t="shared" si="5"/>
        <v>11-20 Yrs</v>
      </c>
    </row>
    <row r="114" spans="1:9" hidden="1" x14ac:dyDescent="0.3">
      <c r="A114" s="2" t="s">
        <v>224</v>
      </c>
      <c r="B114" s="6">
        <v>35</v>
      </c>
      <c r="C114" s="6" t="str">
        <f t="shared" si="4"/>
        <v>30-40</v>
      </c>
      <c r="D114" s="6" t="s">
        <v>231</v>
      </c>
      <c r="E114" s="6" t="s">
        <v>233</v>
      </c>
      <c r="F114" s="6" t="s">
        <v>243</v>
      </c>
      <c r="G114" s="6" t="s">
        <v>244</v>
      </c>
      <c r="H114" s="6">
        <v>26</v>
      </c>
      <c r="I114" t="str">
        <f t="shared" si="5"/>
        <v>20 + Yrs</v>
      </c>
    </row>
    <row r="115" spans="1:9" hidden="1" x14ac:dyDescent="0.3">
      <c r="A115" s="2" t="s">
        <v>664</v>
      </c>
      <c r="B115" s="2">
        <v>41</v>
      </c>
      <c r="C115" s="2" t="str">
        <f t="shared" si="4"/>
        <v>40-50</v>
      </c>
      <c r="D115" s="2" t="s">
        <v>231</v>
      </c>
      <c r="E115" s="2" t="s">
        <v>234</v>
      </c>
      <c r="F115" s="2" t="s">
        <v>238</v>
      </c>
      <c r="G115" s="2" t="s">
        <v>244</v>
      </c>
      <c r="H115" s="2">
        <v>27</v>
      </c>
      <c r="I115" t="str">
        <f t="shared" si="5"/>
        <v>20 + Yrs</v>
      </c>
    </row>
    <row r="116" spans="1:9" hidden="1" x14ac:dyDescent="0.3">
      <c r="A116" s="2" t="s">
        <v>805</v>
      </c>
      <c r="B116" s="2">
        <v>39</v>
      </c>
      <c r="C116" s="2" t="str">
        <f t="shared" si="4"/>
        <v>30-40</v>
      </c>
      <c r="D116" s="2" t="s">
        <v>231</v>
      </c>
      <c r="E116" s="2" t="s">
        <v>235</v>
      </c>
      <c r="F116" s="2" t="s">
        <v>238</v>
      </c>
      <c r="G116" s="2" t="s">
        <v>244</v>
      </c>
      <c r="H116" s="2">
        <v>29</v>
      </c>
      <c r="I116" t="str">
        <f t="shared" si="5"/>
        <v>20 + Yrs</v>
      </c>
    </row>
    <row r="117" spans="1:9" x14ac:dyDescent="0.3">
      <c r="A117" s="2" t="s">
        <v>903</v>
      </c>
      <c r="B117" s="2">
        <v>32</v>
      </c>
      <c r="C117" s="2" t="str">
        <f t="shared" si="4"/>
        <v>30-40</v>
      </c>
      <c r="D117" s="2" t="s">
        <v>232</v>
      </c>
      <c r="E117" s="2" t="s">
        <v>235</v>
      </c>
      <c r="F117" s="2" t="s">
        <v>241</v>
      </c>
      <c r="G117" s="2" t="s">
        <v>246</v>
      </c>
      <c r="H117" s="2">
        <v>10</v>
      </c>
      <c r="I117" s="2" t="str">
        <f t="shared" si="5"/>
        <v>5-10 Yrs</v>
      </c>
    </row>
    <row r="118" spans="1:9" hidden="1" x14ac:dyDescent="0.3">
      <c r="A118" s="2" t="s">
        <v>887</v>
      </c>
      <c r="B118" s="6">
        <v>40</v>
      </c>
      <c r="C118" s="6" t="str">
        <f t="shared" si="4"/>
        <v>30-40</v>
      </c>
      <c r="D118" s="6" t="s">
        <v>231</v>
      </c>
      <c r="E118" s="6" t="s">
        <v>237</v>
      </c>
      <c r="F118" s="6" t="s">
        <v>238</v>
      </c>
      <c r="G118" s="6" t="s">
        <v>245</v>
      </c>
      <c r="H118" s="6">
        <v>4</v>
      </c>
      <c r="I118" t="str">
        <f t="shared" si="5"/>
        <v>0-4 Yrs</v>
      </c>
    </row>
    <row r="119" spans="1:9" hidden="1" x14ac:dyDescent="0.3">
      <c r="A119" s="2" t="s">
        <v>877</v>
      </c>
      <c r="B119" s="2">
        <v>54</v>
      </c>
      <c r="C119" s="2" t="str">
        <f t="shared" si="4"/>
        <v>50+</v>
      </c>
      <c r="D119" s="2" t="s">
        <v>232</v>
      </c>
      <c r="E119" s="2" t="s">
        <v>233</v>
      </c>
      <c r="F119" s="2" t="s">
        <v>238</v>
      </c>
      <c r="G119" s="2" t="s">
        <v>244</v>
      </c>
      <c r="H119" s="2">
        <v>27</v>
      </c>
      <c r="I119" t="str">
        <f t="shared" si="5"/>
        <v>20 + Yrs</v>
      </c>
    </row>
    <row r="120" spans="1:9" x14ac:dyDescent="0.3">
      <c r="A120" s="2" t="s">
        <v>827</v>
      </c>
      <c r="B120" s="2">
        <v>33</v>
      </c>
      <c r="C120" s="2" t="str">
        <f t="shared" si="4"/>
        <v>30-40</v>
      </c>
      <c r="D120" s="2" t="s">
        <v>231</v>
      </c>
      <c r="E120" s="2" t="s">
        <v>233</v>
      </c>
      <c r="F120" s="2" t="s">
        <v>239</v>
      </c>
      <c r="G120" s="2" t="s">
        <v>246</v>
      </c>
      <c r="H120" s="2">
        <v>27</v>
      </c>
      <c r="I120" s="2" t="str">
        <f t="shared" si="5"/>
        <v>20 + Yrs</v>
      </c>
    </row>
    <row r="121" spans="1:9" x14ac:dyDescent="0.3">
      <c r="A121" s="2" t="s">
        <v>709</v>
      </c>
      <c r="B121" s="2">
        <v>33</v>
      </c>
      <c r="C121" s="2" t="str">
        <f t="shared" si="4"/>
        <v>30-40</v>
      </c>
      <c r="D121" s="2" t="s">
        <v>232</v>
      </c>
      <c r="E121" s="2" t="s">
        <v>234</v>
      </c>
      <c r="F121" s="2" t="s">
        <v>240</v>
      </c>
      <c r="G121" s="2" t="s">
        <v>246</v>
      </c>
      <c r="H121" s="2">
        <v>24</v>
      </c>
      <c r="I121" s="2" t="str">
        <f t="shared" si="5"/>
        <v>20 + Yrs</v>
      </c>
    </row>
    <row r="122" spans="1:9" hidden="1" x14ac:dyDescent="0.3">
      <c r="A122" s="2" t="s">
        <v>683</v>
      </c>
      <c r="B122" s="6">
        <v>37</v>
      </c>
      <c r="C122" s="6" t="str">
        <f t="shared" si="4"/>
        <v>30-40</v>
      </c>
      <c r="D122" s="6" t="s">
        <v>232</v>
      </c>
      <c r="E122" s="6" t="s">
        <v>236</v>
      </c>
      <c r="F122" s="6" t="s">
        <v>243</v>
      </c>
      <c r="G122" s="6" t="s">
        <v>245</v>
      </c>
      <c r="H122" s="6">
        <v>18</v>
      </c>
      <c r="I122" t="str">
        <f t="shared" si="5"/>
        <v>11-20 Yrs</v>
      </c>
    </row>
    <row r="123" spans="1:9" hidden="1" x14ac:dyDescent="0.3">
      <c r="A123" s="2" t="s">
        <v>944</v>
      </c>
      <c r="B123" s="2">
        <v>55</v>
      </c>
      <c r="C123" s="2" t="str">
        <f t="shared" si="4"/>
        <v>50+</v>
      </c>
      <c r="D123" s="2" t="s">
        <v>232</v>
      </c>
      <c r="E123" s="2" t="s">
        <v>233</v>
      </c>
      <c r="F123" s="2" t="s">
        <v>240</v>
      </c>
      <c r="G123" s="2" t="s">
        <v>245</v>
      </c>
      <c r="H123" s="2">
        <v>17</v>
      </c>
      <c r="I123" t="str">
        <f t="shared" si="5"/>
        <v>11-20 Yrs</v>
      </c>
    </row>
    <row r="124" spans="1:9" x14ac:dyDescent="0.3">
      <c r="A124" s="2" t="s">
        <v>783</v>
      </c>
      <c r="B124" s="2">
        <v>33</v>
      </c>
      <c r="C124" s="2" t="str">
        <f t="shared" si="4"/>
        <v>30-40</v>
      </c>
      <c r="D124" s="2" t="s">
        <v>231</v>
      </c>
      <c r="E124" s="2" t="s">
        <v>233</v>
      </c>
      <c r="F124" s="2" t="s">
        <v>238</v>
      </c>
      <c r="G124" s="2" t="s">
        <v>246</v>
      </c>
      <c r="H124" s="2">
        <v>21</v>
      </c>
      <c r="I124" s="2" t="str">
        <f t="shared" si="5"/>
        <v>20 + Yrs</v>
      </c>
    </row>
    <row r="125" spans="1:9" x14ac:dyDescent="0.3">
      <c r="A125" s="2" t="s">
        <v>950</v>
      </c>
      <c r="B125" s="2">
        <v>33</v>
      </c>
      <c r="C125" s="2" t="str">
        <f t="shared" si="4"/>
        <v>30-40</v>
      </c>
      <c r="D125" s="2" t="s">
        <v>231</v>
      </c>
      <c r="E125" s="2" t="s">
        <v>234</v>
      </c>
      <c r="F125" s="2" t="s">
        <v>239</v>
      </c>
      <c r="G125" s="2" t="s">
        <v>246</v>
      </c>
      <c r="H125" s="2">
        <v>16</v>
      </c>
      <c r="I125" s="2" t="str">
        <f t="shared" si="5"/>
        <v>11-20 Yrs</v>
      </c>
    </row>
    <row r="126" spans="1:9" hidden="1" x14ac:dyDescent="0.3">
      <c r="A126" s="2" t="s">
        <v>149</v>
      </c>
      <c r="B126" s="6">
        <v>25</v>
      </c>
      <c r="C126" s="6" t="str">
        <f t="shared" si="4"/>
        <v>&lt;30</v>
      </c>
      <c r="D126" s="6" t="s">
        <v>232</v>
      </c>
      <c r="E126" s="6" t="s">
        <v>236</v>
      </c>
      <c r="F126" s="6" t="s">
        <v>241</v>
      </c>
      <c r="G126" s="6" t="s">
        <v>245</v>
      </c>
      <c r="H126" s="6">
        <v>23</v>
      </c>
      <c r="I126" t="str">
        <f t="shared" si="5"/>
        <v>20 + Yrs</v>
      </c>
    </row>
    <row r="127" spans="1:9" hidden="1" x14ac:dyDescent="0.3">
      <c r="A127" s="2" t="s">
        <v>834</v>
      </c>
      <c r="B127" s="2">
        <v>45</v>
      </c>
      <c r="C127" s="2" t="str">
        <f t="shared" si="4"/>
        <v>40-50</v>
      </c>
      <c r="D127" s="2" t="s">
        <v>231</v>
      </c>
      <c r="E127" s="2" t="s">
        <v>234</v>
      </c>
      <c r="F127" s="2" t="s">
        <v>242</v>
      </c>
      <c r="G127" s="2" t="s">
        <v>244</v>
      </c>
      <c r="H127" s="2">
        <v>22</v>
      </c>
      <c r="I127" t="str">
        <f t="shared" si="5"/>
        <v>20 + Yrs</v>
      </c>
    </row>
    <row r="128" spans="1:9" hidden="1" x14ac:dyDescent="0.3">
      <c r="A128" s="2" t="s">
        <v>137</v>
      </c>
      <c r="B128" s="2">
        <v>35</v>
      </c>
      <c r="C128" s="2" t="str">
        <f t="shared" si="4"/>
        <v>30-40</v>
      </c>
      <c r="D128" s="2" t="s">
        <v>232</v>
      </c>
      <c r="E128" s="2" t="s">
        <v>237</v>
      </c>
      <c r="F128" s="2" t="s">
        <v>241</v>
      </c>
      <c r="G128" s="2" t="s">
        <v>245</v>
      </c>
      <c r="H128" s="2">
        <v>18</v>
      </c>
      <c r="I128" t="str">
        <f t="shared" si="5"/>
        <v>11-20 Yrs</v>
      </c>
    </row>
    <row r="129" spans="1:9" x14ac:dyDescent="0.3">
      <c r="A129" s="2" t="s">
        <v>831</v>
      </c>
      <c r="B129" s="2">
        <v>34</v>
      </c>
      <c r="C129" s="2" t="str">
        <f t="shared" si="4"/>
        <v>30-40</v>
      </c>
      <c r="D129" s="2" t="s">
        <v>231</v>
      </c>
      <c r="E129" s="2" t="s">
        <v>234</v>
      </c>
      <c r="F129" s="2" t="s">
        <v>238</v>
      </c>
      <c r="G129" s="2" t="s">
        <v>246</v>
      </c>
      <c r="H129" s="2">
        <v>10</v>
      </c>
      <c r="I129" s="2" t="str">
        <f t="shared" si="5"/>
        <v>5-10 Yrs</v>
      </c>
    </row>
    <row r="130" spans="1:9" hidden="1" x14ac:dyDescent="0.3">
      <c r="A130" s="2" t="s">
        <v>821</v>
      </c>
      <c r="B130" s="6">
        <v>41</v>
      </c>
      <c r="C130" s="6" t="str">
        <f t="shared" si="4"/>
        <v>40-50</v>
      </c>
      <c r="D130" s="6" t="s">
        <v>231</v>
      </c>
      <c r="E130" s="6" t="s">
        <v>234</v>
      </c>
      <c r="F130" s="6" t="s">
        <v>241</v>
      </c>
      <c r="G130" s="6" t="s">
        <v>244</v>
      </c>
      <c r="H130" s="6">
        <v>21</v>
      </c>
      <c r="I130" t="str">
        <f t="shared" si="5"/>
        <v>20 + Yrs</v>
      </c>
    </row>
    <row r="131" spans="1:9" hidden="1" x14ac:dyDescent="0.3">
      <c r="A131" s="2" t="s">
        <v>762</v>
      </c>
      <c r="B131" s="2">
        <v>36</v>
      </c>
      <c r="C131" s="2" t="str">
        <f t="shared" si="4"/>
        <v>30-40</v>
      </c>
      <c r="D131" s="2" t="s">
        <v>232</v>
      </c>
      <c r="E131" s="2" t="s">
        <v>237</v>
      </c>
      <c r="F131" s="2" t="s">
        <v>238</v>
      </c>
      <c r="G131" s="2" t="s">
        <v>245</v>
      </c>
      <c r="H131" s="2">
        <v>9</v>
      </c>
      <c r="I131" t="str">
        <f t="shared" si="5"/>
        <v>5-10 Yrs</v>
      </c>
    </row>
    <row r="132" spans="1:9" hidden="1" x14ac:dyDescent="0.3">
      <c r="A132" s="2" t="s">
        <v>829</v>
      </c>
      <c r="B132" s="2">
        <v>57</v>
      </c>
      <c r="C132" s="2" t="str">
        <f t="shared" si="4"/>
        <v>50+</v>
      </c>
      <c r="D132" s="2" t="s">
        <v>231</v>
      </c>
      <c r="E132" s="2" t="s">
        <v>233</v>
      </c>
      <c r="F132" s="2" t="s">
        <v>241</v>
      </c>
      <c r="G132" s="2" t="s">
        <v>244</v>
      </c>
      <c r="H132" s="2">
        <v>25</v>
      </c>
      <c r="I132" t="str">
        <f t="shared" si="5"/>
        <v>20 + Yrs</v>
      </c>
    </row>
    <row r="133" spans="1:9" hidden="1" x14ac:dyDescent="0.3">
      <c r="A133" s="2" t="s">
        <v>206</v>
      </c>
      <c r="B133" s="2">
        <v>48</v>
      </c>
      <c r="C133" s="2" t="str">
        <f t="shared" ref="C133:C196" si="6">IF(B133&lt;30,"&lt;30",IF(B133&lt;=40,"30-40",IF(B133&lt;=50,"40-50",IF(B133&gt;50,"50+","Unknown"))))</f>
        <v>40-50</v>
      </c>
      <c r="D133" s="2" t="s">
        <v>232</v>
      </c>
      <c r="E133" s="2" t="s">
        <v>237</v>
      </c>
      <c r="F133" s="2" t="s">
        <v>241</v>
      </c>
      <c r="G133" s="2" t="s">
        <v>245</v>
      </c>
      <c r="H133" s="2">
        <v>1</v>
      </c>
      <c r="I133" t="str">
        <f t="shared" ref="I133:I196" si="7">IF(H133&lt;=4,"0-4 Yrs",IF(H133&lt;=10,"5-10 Yrs",IF(H133&lt;=20,"11-20 Yrs",IF(H133&gt;20,"20 + Yrs","Unknown"))))</f>
        <v>0-4 Yrs</v>
      </c>
    </row>
    <row r="134" spans="1:9" hidden="1" x14ac:dyDescent="0.3">
      <c r="A134" s="2" t="s">
        <v>216</v>
      </c>
      <c r="B134" s="2">
        <v>38</v>
      </c>
      <c r="C134" s="2" t="str">
        <f t="shared" si="6"/>
        <v>30-40</v>
      </c>
      <c r="D134" s="2" t="s">
        <v>231</v>
      </c>
      <c r="E134" s="2" t="s">
        <v>237</v>
      </c>
      <c r="F134" s="2" t="s">
        <v>241</v>
      </c>
      <c r="G134" s="2" t="s">
        <v>245</v>
      </c>
      <c r="H134" s="2">
        <v>11</v>
      </c>
      <c r="I134" t="str">
        <f t="shared" si="7"/>
        <v>11-20 Yrs</v>
      </c>
    </row>
    <row r="135" spans="1:9" hidden="1" x14ac:dyDescent="0.3">
      <c r="A135" s="2" t="s">
        <v>205</v>
      </c>
      <c r="B135" s="2">
        <v>49</v>
      </c>
      <c r="C135" s="2" t="str">
        <f t="shared" si="6"/>
        <v>40-50</v>
      </c>
      <c r="D135" s="2" t="s">
        <v>231</v>
      </c>
      <c r="E135" s="2" t="s">
        <v>234</v>
      </c>
      <c r="F135" s="2" t="s">
        <v>238</v>
      </c>
      <c r="G135" s="2" t="s">
        <v>244</v>
      </c>
      <c r="H135" s="2">
        <v>7</v>
      </c>
      <c r="I135" t="str">
        <f t="shared" si="7"/>
        <v>5-10 Yrs</v>
      </c>
    </row>
    <row r="136" spans="1:9" x14ac:dyDescent="0.3">
      <c r="A136" s="2" t="s">
        <v>823</v>
      </c>
      <c r="B136" s="2">
        <v>35</v>
      </c>
      <c r="C136" s="2" t="str">
        <f t="shared" si="6"/>
        <v>30-40</v>
      </c>
      <c r="D136" s="2" t="s">
        <v>232</v>
      </c>
      <c r="E136" s="2" t="s">
        <v>237</v>
      </c>
      <c r="F136" s="2" t="s">
        <v>242</v>
      </c>
      <c r="G136" s="2" t="s">
        <v>246</v>
      </c>
      <c r="H136" s="2">
        <v>27</v>
      </c>
      <c r="I136" s="2" t="str">
        <f t="shared" si="7"/>
        <v>20 + Yrs</v>
      </c>
    </row>
    <row r="137" spans="1:9" hidden="1" x14ac:dyDescent="0.3">
      <c r="A137" s="2" t="s">
        <v>717</v>
      </c>
      <c r="B137" s="6">
        <v>34</v>
      </c>
      <c r="C137" s="6" t="str">
        <f t="shared" si="6"/>
        <v>30-40</v>
      </c>
      <c r="D137" s="6" t="s">
        <v>231</v>
      </c>
      <c r="E137" s="6" t="s">
        <v>237</v>
      </c>
      <c r="F137" s="6" t="s">
        <v>239</v>
      </c>
      <c r="G137" s="6" t="s">
        <v>245</v>
      </c>
      <c r="H137" s="6">
        <v>27</v>
      </c>
      <c r="I137" t="str">
        <f t="shared" si="7"/>
        <v>20 + Yrs</v>
      </c>
    </row>
    <row r="138" spans="1:9" x14ac:dyDescent="0.3">
      <c r="A138" s="2" t="s">
        <v>710</v>
      </c>
      <c r="B138" s="2">
        <v>35</v>
      </c>
      <c r="C138" s="2" t="str">
        <f t="shared" si="6"/>
        <v>30-40</v>
      </c>
      <c r="D138" s="2" t="s">
        <v>231</v>
      </c>
      <c r="E138" s="2" t="s">
        <v>237</v>
      </c>
      <c r="F138" s="2" t="s">
        <v>238</v>
      </c>
      <c r="G138" s="2" t="s">
        <v>246</v>
      </c>
      <c r="H138" s="2">
        <v>19</v>
      </c>
      <c r="I138" s="2" t="str">
        <f t="shared" si="7"/>
        <v>11-20 Yrs</v>
      </c>
    </row>
    <row r="139" spans="1:9" x14ac:dyDescent="0.3">
      <c r="A139" s="2" t="s">
        <v>144</v>
      </c>
      <c r="B139" s="2">
        <v>35</v>
      </c>
      <c r="C139" s="2" t="str">
        <f t="shared" si="6"/>
        <v>30-40</v>
      </c>
      <c r="D139" s="2" t="s">
        <v>231</v>
      </c>
      <c r="E139" s="2" t="s">
        <v>233</v>
      </c>
      <c r="F139" s="2" t="s">
        <v>242</v>
      </c>
      <c r="G139" s="2" t="s">
        <v>246</v>
      </c>
      <c r="H139" s="2">
        <v>1</v>
      </c>
      <c r="I139" s="2" t="str">
        <f t="shared" si="7"/>
        <v>0-4 Yrs</v>
      </c>
    </row>
    <row r="140" spans="1:9" hidden="1" x14ac:dyDescent="0.3">
      <c r="A140" s="2" t="s">
        <v>753</v>
      </c>
      <c r="B140" s="6">
        <v>58</v>
      </c>
      <c r="C140" s="6" t="str">
        <f t="shared" si="6"/>
        <v>50+</v>
      </c>
      <c r="D140" s="6" t="s">
        <v>231</v>
      </c>
      <c r="E140" s="6" t="s">
        <v>234</v>
      </c>
      <c r="F140" s="6" t="s">
        <v>242</v>
      </c>
      <c r="G140" s="6" t="s">
        <v>245</v>
      </c>
      <c r="H140" s="6">
        <v>21</v>
      </c>
      <c r="I140" t="str">
        <f t="shared" si="7"/>
        <v>20 + Yrs</v>
      </c>
    </row>
    <row r="141" spans="1:9" hidden="1" x14ac:dyDescent="0.3">
      <c r="A141" s="2" t="s">
        <v>909</v>
      </c>
      <c r="B141" s="2">
        <v>56</v>
      </c>
      <c r="C141" s="2" t="str">
        <f t="shared" si="6"/>
        <v>50+</v>
      </c>
      <c r="D141" s="2" t="s">
        <v>231</v>
      </c>
      <c r="E141" s="2" t="s">
        <v>236</v>
      </c>
      <c r="F141" s="2" t="s">
        <v>243</v>
      </c>
      <c r="G141" s="2" t="s">
        <v>244</v>
      </c>
      <c r="H141" s="2">
        <v>16</v>
      </c>
      <c r="I141" t="str">
        <f t="shared" si="7"/>
        <v>11-20 Yrs</v>
      </c>
    </row>
    <row r="142" spans="1:9" hidden="1" x14ac:dyDescent="0.3">
      <c r="A142" s="2" t="s">
        <v>136</v>
      </c>
      <c r="B142" s="2">
        <v>51</v>
      </c>
      <c r="C142" s="2" t="str">
        <f t="shared" si="6"/>
        <v>50+</v>
      </c>
      <c r="D142" s="2" t="s">
        <v>231</v>
      </c>
      <c r="E142" s="2" t="s">
        <v>234</v>
      </c>
      <c r="F142" s="2" t="s">
        <v>239</v>
      </c>
      <c r="G142" s="2" t="s">
        <v>244</v>
      </c>
      <c r="H142" s="2">
        <v>19</v>
      </c>
      <c r="I142" t="str">
        <f t="shared" si="7"/>
        <v>11-20 Yrs</v>
      </c>
    </row>
    <row r="143" spans="1:9" hidden="1" x14ac:dyDescent="0.3">
      <c r="A143" s="2" t="s">
        <v>790</v>
      </c>
      <c r="B143" s="2">
        <v>38</v>
      </c>
      <c r="C143" s="2" t="str">
        <f t="shared" si="6"/>
        <v>30-40</v>
      </c>
      <c r="D143" s="2" t="s">
        <v>232</v>
      </c>
      <c r="E143" s="2" t="s">
        <v>235</v>
      </c>
      <c r="F143" s="2" t="s">
        <v>242</v>
      </c>
      <c r="G143" s="2" t="s">
        <v>245</v>
      </c>
      <c r="H143" s="2">
        <v>26</v>
      </c>
      <c r="I143" t="str">
        <f t="shared" si="7"/>
        <v>20 + Yrs</v>
      </c>
    </row>
    <row r="144" spans="1:9" x14ac:dyDescent="0.3">
      <c r="B144" s="2">
        <v>35</v>
      </c>
      <c r="C144" s="2" t="str">
        <f t="shared" si="6"/>
        <v>30-40</v>
      </c>
      <c r="D144" s="2" t="s">
        <v>231</v>
      </c>
      <c r="E144" s="2" t="s">
        <v>237</v>
      </c>
      <c r="F144" s="2" t="s">
        <v>238</v>
      </c>
      <c r="G144" s="2" t="s">
        <v>246</v>
      </c>
      <c r="H144" s="2">
        <v>5</v>
      </c>
      <c r="I144" s="2" t="str">
        <f t="shared" si="7"/>
        <v>5-10 Yrs</v>
      </c>
    </row>
    <row r="145" spans="2:9" hidden="1" x14ac:dyDescent="0.3">
      <c r="B145" s="6">
        <v>40</v>
      </c>
      <c r="C145" s="6" t="str">
        <f t="shared" si="6"/>
        <v>30-40</v>
      </c>
      <c r="D145" s="6" t="s">
        <v>231</v>
      </c>
      <c r="E145" s="6" t="s">
        <v>233</v>
      </c>
      <c r="F145" s="6" t="s">
        <v>242</v>
      </c>
      <c r="G145" s="6" t="s">
        <v>245</v>
      </c>
      <c r="H145" s="6">
        <v>30</v>
      </c>
      <c r="I145" t="str">
        <f t="shared" si="7"/>
        <v>20 + Yrs</v>
      </c>
    </row>
    <row r="146" spans="2:9" hidden="1" x14ac:dyDescent="0.3">
      <c r="B146" s="2">
        <v>32</v>
      </c>
      <c r="C146" s="2" t="str">
        <f t="shared" si="6"/>
        <v>30-40</v>
      </c>
      <c r="D146" s="2" t="s">
        <v>232</v>
      </c>
      <c r="E146" s="2" t="s">
        <v>234</v>
      </c>
      <c r="F146" s="2" t="s">
        <v>243</v>
      </c>
      <c r="G146" s="2" t="s">
        <v>245</v>
      </c>
      <c r="H146" s="2">
        <v>27</v>
      </c>
      <c r="I146" t="str">
        <f t="shared" si="7"/>
        <v>20 + Yrs</v>
      </c>
    </row>
    <row r="147" spans="2:9" hidden="1" x14ac:dyDescent="0.3">
      <c r="B147" s="2">
        <v>29</v>
      </c>
      <c r="C147" s="2" t="str">
        <f t="shared" si="6"/>
        <v>&lt;30</v>
      </c>
      <c r="D147" s="2" t="s">
        <v>232</v>
      </c>
      <c r="E147" s="2" t="s">
        <v>234</v>
      </c>
      <c r="F147" s="2" t="s">
        <v>239</v>
      </c>
      <c r="G147" s="2" t="s">
        <v>245</v>
      </c>
      <c r="H147" s="2">
        <v>24</v>
      </c>
      <c r="I147" t="str">
        <f t="shared" si="7"/>
        <v>20 + Yrs</v>
      </c>
    </row>
    <row r="148" spans="2:9" hidden="1" x14ac:dyDescent="0.3">
      <c r="B148" s="2">
        <v>27</v>
      </c>
      <c r="C148" s="2" t="str">
        <f t="shared" si="6"/>
        <v>&lt;30</v>
      </c>
      <c r="D148" s="2" t="s">
        <v>232</v>
      </c>
      <c r="E148" s="2" t="s">
        <v>233</v>
      </c>
      <c r="F148" s="2" t="s">
        <v>241</v>
      </c>
      <c r="G148" s="2" t="s">
        <v>245</v>
      </c>
      <c r="H148" s="2">
        <v>23</v>
      </c>
      <c r="I148" t="str">
        <f t="shared" si="7"/>
        <v>20 + Yrs</v>
      </c>
    </row>
    <row r="149" spans="2:9" x14ac:dyDescent="0.3">
      <c r="B149" s="2">
        <v>35</v>
      </c>
      <c r="C149" s="2" t="str">
        <f t="shared" si="6"/>
        <v>30-40</v>
      </c>
      <c r="D149" s="2" t="s">
        <v>231</v>
      </c>
      <c r="E149" s="2" t="s">
        <v>235</v>
      </c>
      <c r="F149" s="2" t="s">
        <v>242</v>
      </c>
      <c r="G149" s="2" t="s">
        <v>246</v>
      </c>
      <c r="H149" s="2">
        <v>25</v>
      </c>
      <c r="I149" s="2" t="str">
        <f t="shared" si="7"/>
        <v>20 + Yrs</v>
      </c>
    </row>
    <row r="150" spans="2:9" x14ac:dyDescent="0.3">
      <c r="B150" s="2">
        <v>36</v>
      </c>
      <c r="C150" s="2" t="str">
        <f t="shared" si="6"/>
        <v>30-40</v>
      </c>
      <c r="D150" s="2" t="s">
        <v>231</v>
      </c>
      <c r="E150" s="2" t="s">
        <v>235</v>
      </c>
      <c r="F150" s="2" t="s">
        <v>243</v>
      </c>
      <c r="G150" s="2" t="s">
        <v>246</v>
      </c>
      <c r="H150" s="2">
        <v>3</v>
      </c>
      <c r="I150" s="2" t="str">
        <f t="shared" si="7"/>
        <v>0-4 Yrs</v>
      </c>
    </row>
    <row r="151" spans="2:9" hidden="1" x14ac:dyDescent="0.3">
      <c r="B151" s="6">
        <v>49</v>
      </c>
      <c r="C151" s="6" t="str">
        <f t="shared" si="6"/>
        <v>40-50</v>
      </c>
      <c r="D151" s="6" t="s">
        <v>231</v>
      </c>
      <c r="E151" s="6" t="s">
        <v>234</v>
      </c>
      <c r="F151" s="6" t="s">
        <v>243</v>
      </c>
      <c r="G151" s="6" t="s">
        <v>244</v>
      </c>
      <c r="H151" s="6">
        <v>24</v>
      </c>
      <c r="I151" t="str">
        <f t="shared" si="7"/>
        <v>20 + Yrs</v>
      </c>
    </row>
    <row r="152" spans="2:9" hidden="1" x14ac:dyDescent="0.3">
      <c r="B152" s="2">
        <v>49</v>
      </c>
      <c r="C152" s="2" t="str">
        <f t="shared" si="6"/>
        <v>40-50</v>
      </c>
      <c r="D152" s="2" t="s">
        <v>231</v>
      </c>
      <c r="E152" s="2" t="s">
        <v>234</v>
      </c>
      <c r="F152" s="2" t="s">
        <v>242</v>
      </c>
      <c r="G152" s="2" t="s">
        <v>245</v>
      </c>
      <c r="H152" s="2">
        <v>26</v>
      </c>
      <c r="I152" t="str">
        <f t="shared" si="7"/>
        <v>20 + Yrs</v>
      </c>
    </row>
    <row r="153" spans="2:9" x14ac:dyDescent="0.3">
      <c r="B153" s="2">
        <v>36</v>
      </c>
      <c r="C153" s="2" t="str">
        <f t="shared" si="6"/>
        <v>30-40</v>
      </c>
      <c r="D153" s="2" t="s">
        <v>232</v>
      </c>
      <c r="E153" s="2" t="s">
        <v>233</v>
      </c>
      <c r="F153" s="2" t="s">
        <v>241</v>
      </c>
      <c r="G153" s="2" t="s">
        <v>246</v>
      </c>
      <c r="H153" s="2">
        <v>6</v>
      </c>
      <c r="I153" s="2" t="str">
        <f t="shared" si="7"/>
        <v>5-10 Yrs</v>
      </c>
    </row>
    <row r="154" spans="2:9" hidden="1" x14ac:dyDescent="0.3">
      <c r="B154" s="6">
        <v>60</v>
      </c>
      <c r="C154" s="6" t="str">
        <f t="shared" si="6"/>
        <v>50+</v>
      </c>
      <c r="D154" s="6" t="s">
        <v>231</v>
      </c>
      <c r="E154" s="6" t="s">
        <v>237</v>
      </c>
      <c r="F154" s="6" t="s">
        <v>238</v>
      </c>
      <c r="G154" s="6" t="s">
        <v>244</v>
      </c>
      <c r="H154" s="6">
        <v>24</v>
      </c>
      <c r="I154" t="str">
        <f t="shared" si="7"/>
        <v>20 + Yrs</v>
      </c>
    </row>
    <row r="155" spans="2:9" hidden="1" x14ac:dyDescent="0.3">
      <c r="B155" s="2">
        <v>59</v>
      </c>
      <c r="C155" s="2" t="str">
        <f t="shared" si="6"/>
        <v>50+</v>
      </c>
      <c r="D155" s="2" t="s">
        <v>231</v>
      </c>
      <c r="E155" s="2" t="s">
        <v>237</v>
      </c>
      <c r="F155" s="2" t="s">
        <v>243</v>
      </c>
      <c r="G155" s="2" t="s">
        <v>244</v>
      </c>
      <c r="H155" s="2">
        <v>12</v>
      </c>
      <c r="I155" t="str">
        <f t="shared" si="7"/>
        <v>11-20 Yrs</v>
      </c>
    </row>
    <row r="156" spans="2:9" x14ac:dyDescent="0.3">
      <c r="B156" s="2">
        <v>37</v>
      </c>
      <c r="C156" s="2" t="str">
        <f t="shared" si="6"/>
        <v>30-40</v>
      </c>
      <c r="D156" s="2" t="s">
        <v>232</v>
      </c>
      <c r="E156" s="2" t="s">
        <v>234</v>
      </c>
      <c r="F156" s="2" t="s">
        <v>242</v>
      </c>
      <c r="G156" s="2" t="s">
        <v>246</v>
      </c>
      <c r="H156" s="2">
        <v>35</v>
      </c>
      <c r="I156" s="2" t="str">
        <f t="shared" si="7"/>
        <v>20 + Yrs</v>
      </c>
    </row>
    <row r="157" spans="2:9" hidden="1" x14ac:dyDescent="0.3">
      <c r="B157" s="6">
        <v>44</v>
      </c>
      <c r="C157" s="6" t="str">
        <f t="shared" si="6"/>
        <v>40-50</v>
      </c>
      <c r="D157" s="6" t="s">
        <v>231</v>
      </c>
      <c r="E157" s="6" t="s">
        <v>235</v>
      </c>
      <c r="F157" s="6" t="s">
        <v>238</v>
      </c>
      <c r="G157" s="6" t="s">
        <v>244</v>
      </c>
      <c r="H157" s="6">
        <v>7</v>
      </c>
      <c r="I157" t="str">
        <f t="shared" si="7"/>
        <v>5-10 Yrs</v>
      </c>
    </row>
    <row r="158" spans="2:9" x14ac:dyDescent="0.3">
      <c r="B158" s="2">
        <v>37</v>
      </c>
      <c r="C158" s="2" t="str">
        <f t="shared" si="6"/>
        <v>30-40</v>
      </c>
      <c r="D158" s="2" t="s">
        <v>232</v>
      </c>
      <c r="E158" s="2" t="s">
        <v>233</v>
      </c>
      <c r="F158" s="2" t="s">
        <v>239</v>
      </c>
      <c r="G158" s="2" t="s">
        <v>246</v>
      </c>
      <c r="H158" s="2">
        <v>4</v>
      </c>
      <c r="I158" s="2" t="str">
        <f t="shared" si="7"/>
        <v>0-4 Yrs</v>
      </c>
    </row>
    <row r="159" spans="2:9" hidden="1" x14ac:dyDescent="0.3">
      <c r="B159" s="6">
        <v>38</v>
      </c>
      <c r="C159" s="6" t="str">
        <f t="shared" si="6"/>
        <v>30-40</v>
      </c>
      <c r="D159" s="6" t="s">
        <v>231</v>
      </c>
      <c r="E159" s="6" t="s">
        <v>236</v>
      </c>
      <c r="F159" s="6" t="s">
        <v>242</v>
      </c>
      <c r="G159" s="6" t="s">
        <v>245</v>
      </c>
      <c r="H159" s="6">
        <v>15</v>
      </c>
      <c r="I159" t="str">
        <f t="shared" si="7"/>
        <v>11-20 Yrs</v>
      </c>
    </row>
    <row r="160" spans="2:9" x14ac:dyDescent="0.3">
      <c r="B160" s="2">
        <v>37</v>
      </c>
      <c r="C160" s="2" t="str">
        <f t="shared" si="6"/>
        <v>30-40</v>
      </c>
      <c r="D160" s="2" t="s">
        <v>231</v>
      </c>
      <c r="E160" s="2" t="s">
        <v>236</v>
      </c>
      <c r="F160" s="2" t="s">
        <v>243</v>
      </c>
      <c r="G160" s="2" t="s">
        <v>246</v>
      </c>
      <c r="H160" s="2">
        <v>4</v>
      </c>
      <c r="I160" s="2" t="str">
        <f t="shared" si="7"/>
        <v>0-4 Yrs</v>
      </c>
    </row>
    <row r="161" spans="2:9" x14ac:dyDescent="0.3">
      <c r="B161" s="2">
        <v>37</v>
      </c>
      <c r="C161" s="2" t="str">
        <f t="shared" si="6"/>
        <v>30-40</v>
      </c>
      <c r="D161" s="2" t="s">
        <v>232</v>
      </c>
      <c r="E161" s="2" t="s">
        <v>237</v>
      </c>
      <c r="F161" s="2" t="s">
        <v>240</v>
      </c>
      <c r="G161" s="2" t="s">
        <v>246</v>
      </c>
      <c r="H161" s="2">
        <v>16</v>
      </c>
      <c r="I161" s="2" t="str">
        <f t="shared" si="7"/>
        <v>11-20 Yrs</v>
      </c>
    </row>
    <row r="162" spans="2:9" hidden="1" x14ac:dyDescent="0.3">
      <c r="B162" s="6">
        <v>60</v>
      </c>
      <c r="C162" s="6" t="str">
        <f t="shared" si="6"/>
        <v>50+</v>
      </c>
      <c r="D162" s="6" t="s">
        <v>231</v>
      </c>
      <c r="E162" s="6" t="s">
        <v>235</v>
      </c>
      <c r="F162" s="6" t="s">
        <v>241</v>
      </c>
      <c r="G162" s="6" t="s">
        <v>245</v>
      </c>
      <c r="H162" s="6">
        <v>13</v>
      </c>
      <c r="I162" t="str">
        <f t="shared" si="7"/>
        <v>11-20 Yrs</v>
      </c>
    </row>
    <row r="163" spans="2:9" x14ac:dyDescent="0.3">
      <c r="B163" s="2">
        <v>37</v>
      </c>
      <c r="C163" s="2" t="str">
        <f t="shared" si="6"/>
        <v>30-40</v>
      </c>
      <c r="D163" s="2" t="s">
        <v>231</v>
      </c>
      <c r="E163" s="2" t="s">
        <v>234</v>
      </c>
      <c r="F163" s="2" t="s">
        <v>243</v>
      </c>
      <c r="G163" s="2" t="s">
        <v>246</v>
      </c>
      <c r="H163" s="2">
        <v>24</v>
      </c>
      <c r="I163" s="2" t="str">
        <f t="shared" si="7"/>
        <v>20 + Yrs</v>
      </c>
    </row>
    <row r="164" spans="2:9" x14ac:dyDescent="0.3">
      <c r="B164" s="2">
        <v>38</v>
      </c>
      <c r="C164" s="2" t="str">
        <f t="shared" si="6"/>
        <v>30-40</v>
      </c>
      <c r="D164" s="2" t="s">
        <v>231</v>
      </c>
      <c r="E164" s="2" t="s">
        <v>237</v>
      </c>
      <c r="F164" s="2" t="s">
        <v>243</v>
      </c>
      <c r="G164" s="2" t="s">
        <v>246</v>
      </c>
      <c r="H164" s="2">
        <v>34</v>
      </c>
      <c r="I164" s="2" t="str">
        <f t="shared" si="7"/>
        <v>20 + Yrs</v>
      </c>
    </row>
    <row r="165" spans="2:9" x14ac:dyDescent="0.3">
      <c r="B165" s="2">
        <v>38</v>
      </c>
      <c r="C165" s="2" t="str">
        <f t="shared" si="6"/>
        <v>30-40</v>
      </c>
      <c r="D165" s="2" t="s">
        <v>231</v>
      </c>
      <c r="E165" s="2" t="s">
        <v>237</v>
      </c>
      <c r="F165" s="2" t="s">
        <v>239</v>
      </c>
      <c r="G165" s="2" t="s">
        <v>246</v>
      </c>
      <c r="H165" s="2">
        <v>18</v>
      </c>
      <c r="I165" s="2" t="str">
        <f t="shared" si="7"/>
        <v>11-20 Yrs</v>
      </c>
    </row>
    <row r="166" spans="2:9" hidden="1" x14ac:dyDescent="0.3">
      <c r="B166" s="6">
        <v>26</v>
      </c>
      <c r="C166" s="6" t="str">
        <f t="shared" si="6"/>
        <v>&lt;30</v>
      </c>
      <c r="D166" s="6" t="s">
        <v>231</v>
      </c>
      <c r="E166" s="6" t="s">
        <v>233</v>
      </c>
      <c r="F166" s="6" t="s">
        <v>238</v>
      </c>
      <c r="G166" s="6" t="s">
        <v>244</v>
      </c>
      <c r="H166" s="6">
        <v>22</v>
      </c>
      <c r="I166" t="str">
        <f t="shared" si="7"/>
        <v>20 + Yrs</v>
      </c>
    </row>
    <row r="167" spans="2:9" x14ac:dyDescent="0.3">
      <c r="B167" s="2">
        <v>38</v>
      </c>
      <c r="C167" s="2" t="str">
        <f t="shared" si="6"/>
        <v>30-40</v>
      </c>
      <c r="D167" s="2" t="s">
        <v>231</v>
      </c>
      <c r="E167" s="2" t="s">
        <v>235</v>
      </c>
      <c r="F167" s="2" t="s">
        <v>238</v>
      </c>
      <c r="G167" s="2" t="s">
        <v>246</v>
      </c>
      <c r="H167" s="2">
        <v>23</v>
      </c>
      <c r="I167" s="2" t="str">
        <f t="shared" si="7"/>
        <v>20 + Yrs</v>
      </c>
    </row>
    <row r="168" spans="2:9" x14ac:dyDescent="0.3">
      <c r="B168" s="2">
        <v>38</v>
      </c>
      <c r="C168" s="2" t="str">
        <f t="shared" si="6"/>
        <v>30-40</v>
      </c>
      <c r="D168" s="2" t="s">
        <v>231</v>
      </c>
      <c r="E168" s="2" t="s">
        <v>237</v>
      </c>
      <c r="F168" s="2" t="s">
        <v>238</v>
      </c>
      <c r="G168" s="2" t="s">
        <v>246</v>
      </c>
      <c r="H168" s="2">
        <v>9</v>
      </c>
      <c r="I168" s="2" t="str">
        <f t="shared" si="7"/>
        <v>5-10 Yrs</v>
      </c>
    </row>
    <row r="169" spans="2:9" x14ac:dyDescent="0.3">
      <c r="B169" s="2">
        <v>39</v>
      </c>
      <c r="C169" s="2" t="str">
        <f t="shared" si="6"/>
        <v>30-40</v>
      </c>
      <c r="D169" s="2" t="s">
        <v>231</v>
      </c>
      <c r="E169" s="2" t="s">
        <v>234</v>
      </c>
      <c r="F169" s="2" t="s">
        <v>242</v>
      </c>
      <c r="G169" s="2" t="s">
        <v>246</v>
      </c>
      <c r="H169" s="2">
        <v>24</v>
      </c>
      <c r="I169" s="2" t="str">
        <f t="shared" si="7"/>
        <v>20 + Yrs</v>
      </c>
    </row>
    <row r="170" spans="2:9" hidden="1" x14ac:dyDescent="0.3">
      <c r="B170" s="6">
        <v>42</v>
      </c>
      <c r="C170" s="6" t="str">
        <f t="shared" si="6"/>
        <v>40-50</v>
      </c>
      <c r="D170" s="6" t="s">
        <v>232</v>
      </c>
      <c r="E170" s="6" t="s">
        <v>233</v>
      </c>
      <c r="F170" s="6" t="s">
        <v>240</v>
      </c>
      <c r="G170" s="6" t="s">
        <v>244</v>
      </c>
      <c r="H170" s="6">
        <v>22</v>
      </c>
      <c r="I170" t="str">
        <f t="shared" si="7"/>
        <v>20 + Yrs</v>
      </c>
    </row>
    <row r="171" spans="2:9" hidden="1" x14ac:dyDescent="0.3">
      <c r="B171" s="2">
        <v>33</v>
      </c>
      <c r="C171" s="2" t="str">
        <f t="shared" si="6"/>
        <v>30-40</v>
      </c>
      <c r="D171" s="2" t="s">
        <v>232</v>
      </c>
      <c r="E171" s="2" t="s">
        <v>235</v>
      </c>
      <c r="F171" s="2" t="s">
        <v>240</v>
      </c>
      <c r="G171" s="2" t="s">
        <v>245</v>
      </c>
      <c r="H171" s="2">
        <v>28</v>
      </c>
      <c r="I171" t="str">
        <f t="shared" si="7"/>
        <v>20 + Yrs</v>
      </c>
    </row>
    <row r="172" spans="2:9" hidden="1" x14ac:dyDescent="0.3">
      <c r="B172" s="2">
        <v>60</v>
      </c>
      <c r="C172" s="2" t="str">
        <f t="shared" si="6"/>
        <v>50+</v>
      </c>
      <c r="D172" s="2" t="s">
        <v>231</v>
      </c>
      <c r="E172" s="2" t="s">
        <v>237</v>
      </c>
      <c r="F172" s="2" t="s">
        <v>240</v>
      </c>
      <c r="G172" s="2" t="s">
        <v>244</v>
      </c>
      <c r="H172" s="2">
        <v>23</v>
      </c>
      <c r="I172" t="str">
        <f t="shared" si="7"/>
        <v>20 + Yrs</v>
      </c>
    </row>
    <row r="173" spans="2:9" hidden="1" x14ac:dyDescent="0.3">
      <c r="B173" s="2">
        <v>42</v>
      </c>
      <c r="C173" s="2" t="str">
        <f t="shared" si="6"/>
        <v>40-50</v>
      </c>
      <c r="D173" s="2" t="s">
        <v>232</v>
      </c>
      <c r="E173" s="2" t="s">
        <v>236</v>
      </c>
      <c r="F173" s="2" t="s">
        <v>239</v>
      </c>
      <c r="G173" s="2" t="s">
        <v>244</v>
      </c>
      <c r="H173" s="2">
        <v>5</v>
      </c>
      <c r="I173" t="str">
        <f t="shared" si="7"/>
        <v>5-10 Yrs</v>
      </c>
    </row>
    <row r="174" spans="2:9" hidden="1" x14ac:dyDescent="0.3">
      <c r="B174" s="2">
        <v>54</v>
      </c>
      <c r="C174" s="2" t="str">
        <f t="shared" si="6"/>
        <v>50+</v>
      </c>
      <c r="D174" s="2" t="s">
        <v>232</v>
      </c>
      <c r="E174" s="2" t="s">
        <v>234</v>
      </c>
      <c r="F174" s="2" t="s">
        <v>238</v>
      </c>
      <c r="G174" s="2" t="s">
        <v>244</v>
      </c>
      <c r="H174" s="2">
        <v>13</v>
      </c>
      <c r="I174" t="str">
        <f t="shared" si="7"/>
        <v>11-20 Yrs</v>
      </c>
    </row>
    <row r="175" spans="2:9" hidden="1" x14ac:dyDescent="0.3">
      <c r="B175" s="2">
        <v>57</v>
      </c>
      <c r="C175" s="2" t="str">
        <f t="shared" si="6"/>
        <v>50+</v>
      </c>
      <c r="D175" s="2" t="s">
        <v>231</v>
      </c>
      <c r="E175" s="2" t="s">
        <v>235</v>
      </c>
      <c r="F175" s="2" t="s">
        <v>239</v>
      </c>
      <c r="G175" s="2" t="s">
        <v>244</v>
      </c>
      <c r="H175" s="2">
        <v>30</v>
      </c>
      <c r="I175" t="str">
        <f t="shared" si="7"/>
        <v>20 + Yrs</v>
      </c>
    </row>
    <row r="176" spans="2:9" x14ac:dyDescent="0.3">
      <c r="B176" s="2">
        <v>39</v>
      </c>
      <c r="C176" s="2" t="str">
        <f t="shared" si="6"/>
        <v>30-40</v>
      </c>
      <c r="D176" s="2" t="s">
        <v>232</v>
      </c>
      <c r="E176" s="2" t="s">
        <v>236</v>
      </c>
      <c r="F176" s="2" t="s">
        <v>239</v>
      </c>
      <c r="G176" s="2" t="s">
        <v>246</v>
      </c>
      <c r="H176" s="2">
        <v>23</v>
      </c>
      <c r="I176" s="2" t="str">
        <f t="shared" si="7"/>
        <v>20 + Yrs</v>
      </c>
    </row>
    <row r="177" spans="2:9" x14ac:dyDescent="0.3">
      <c r="B177" s="2">
        <v>39</v>
      </c>
      <c r="C177" s="2" t="str">
        <f t="shared" si="6"/>
        <v>30-40</v>
      </c>
      <c r="D177" s="2" t="s">
        <v>231</v>
      </c>
      <c r="E177" s="2" t="s">
        <v>235</v>
      </c>
      <c r="F177" s="2" t="s">
        <v>242</v>
      </c>
      <c r="G177" s="2" t="s">
        <v>246</v>
      </c>
      <c r="H177" s="2">
        <v>26</v>
      </c>
      <c r="I177" s="2" t="str">
        <f t="shared" si="7"/>
        <v>20 + Yrs</v>
      </c>
    </row>
    <row r="178" spans="2:9" hidden="1" x14ac:dyDescent="0.3">
      <c r="B178" s="6">
        <v>52</v>
      </c>
      <c r="C178" s="6" t="str">
        <f t="shared" si="6"/>
        <v>50+</v>
      </c>
      <c r="D178" s="6" t="s">
        <v>231</v>
      </c>
      <c r="E178" s="6" t="s">
        <v>237</v>
      </c>
      <c r="F178" s="6" t="s">
        <v>241</v>
      </c>
      <c r="G178" s="6" t="s">
        <v>244</v>
      </c>
      <c r="H178" s="6">
        <v>6</v>
      </c>
      <c r="I178" t="str">
        <f t="shared" si="7"/>
        <v>5-10 Yrs</v>
      </c>
    </row>
    <row r="179" spans="2:9" hidden="1" x14ac:dyDescent="0.3">
      <c r="B179" s="2">
        <v>37</v>
      </c>
      <c r="C179" s="2" t="str">
        <f t="shared" si="6"/>
        <v>30-40</v>
      </c>
      <c r="D179" s="2" t="s">
        <v>231</v>
      </c>
      <c r="E179" s="2" t="s">
        <v>237</v>
      </c>
      <c r="F179" s="2" t="s">
        <v>242</v>
      </c>
      <c r="G179" s="2" t="s">
        <v>245</v>
      </c>
      <c r="H179" s="2">
        <v>22</v>
      </c>
      <c r="I179" t="str">
        <f t="shared" si="7"/>
        <v>20 + Yrs</v>
      </c>
    </row>
    <row r="180" spans="2:9" hidden="1" x14ac:dyDescent="0.3">
      <c r="B180" s="2">
        <v>59</v>
      </c>
      <c r="C180" s="2" t="str">
        <f t="shared" si="6"/>
        <v>50+</v>
      </c>
      <c r="D180" s="2" t="s">
        <v>232</v>
      </c>
      <c r="E180" s="2" t="s">
        <v>237</v>
      </c>
      <c r="F180" s="2" t="s">
        <v>239</v>
      </c>
      <c r="G180" s="2" t="s">
        <v>244</v>
      </c>
      <c r="H180" s="2">
        <v>21</v>
      </c>
      <c r="I180" t="str">
        <f t="shared" si="7"/>
        <v>20 + Yrs</v>
      </c>
    </row>
    <row r="181" spans="2:9" hidden="1" x14ac:dyDescent="0.3">
      <c r="B181" s="2">
        <v>48</v>
      </c>
      <c r="C181" s="2" t="str">
        <f t="shared" si="6"/>
        <v>40-50</v>
      </c>
      <c r="D181" s="2" t="s">
        <v>232</v>
      </c>
      <c r="E181" s="2" t="s">
        <v>234</v>
      </c>
      <c r="F181" s="2" t="s">
        <v>239</v>
      </c>
      <c r="G181" s="2" t="s">
        <v>245</v>
      </c>
      <c r="H181" s="2">
        <v>8</v>
      </c>
      <c r="I181" t="str">
        <f t="shared" si="7"/>
        <v>5-10 Yrs</v>
      </c>
    </row>
    <row r="182" spans="2:9" x14ac:dyDescent="0.3">
      <c r="B182" s="2">
        <v>39</v>
      </c>
      <c r="C182" s="2" t="str">
        <f t="shared" si="6"/>
        <v>30-40</v>
      </c>
      <c r="D182" s="2" t="s">
        <v>232</v>
      </c>
      <c r="E182" s="2" t="s">
        <v>233</v>
      </c>
      <c r="F182" s="2" t="s">
        <v>242</v>
      </c>
      <c r="G182" s="2" t="s">
        <v>246</v>
      </c>
      <c r="H182" s="2">
        <v>2</v>
      </c>
      <c r="I182" s="2" t="str">
        <f t="shared" si="7"/>
        <v>0-4 Yrs</v>
      </c>
    </row>
    <row r="183" spans="2:9" hidden="1" x14ac:dyDescent="0.3">
      <c r="B183" s="6">
        <v>59</v>
      </c>
      <c r="C183" s="6" t="str">
        <f t="shared" si="6"/>
        <v>50+</v>
      </c>
      <c r="D183" s="6" t="s">
        <v>232</v>
      </c>
      <c r="E183" s="6" t="s">
        <v>237</v>
      </c>
      <c r="F183" s="6" t="s">
        <v>243</v>
      </c>
      <c r="G183" s="6" t="s">
        <v>244</v>
      </c>
      <c r="H183" s="6">
        <v>9</v>
      </c>
      <c r="I183" t="str">
        <f t="shared" si="7"/>
        <v>5-10 Yrs</v>
      </c>
    </row>
    <row r="184" spans="2:9" hidden="1" x14ac:dyDescent="0.3">
      <c r="B184" s="2">
        <v>55</v>
      </c>
      <c r="C184" s="2" t="str">
        <f t="shared" si="6"/>
        <v>50+</v>
      </c>
      <c r="D184" s="2" t="s">
        <v>231</v>
      </c>
      <c r="E184" s="2" t="s">
        <v>235</v>
      </c>
      <c r="F184" s="2" t="s">
        <v>239</v>
      </c>
      <c r="G184" s="2" t="s">
        <v>244</v>
      </c>
      <c r="H184" s="2">
        <v>13</v>
      </c>
      <c r="I184" t="str">
        <f t="shared" si="7"/>
        <v>11-20 Yrs</v>
      </c>
    </row>
    <row r="185" spans="2:9" hidden="1" x14ac:dyDescent="0.3">
      <c r="B185" s="2">
        <v>60</v>
      </c>
      <c r="C185" s="2" t="str">
        <f t="shared" si="6"/>
        <v>50+</v>
      </c>
      <c r="D185" s="2" t="s">
        <v>231</v>
      </c>
      <c r="E185" s="2" t="s">
        <v>235</v>
      </c>
      <c r="F185" s="2" t="s">
        <v>243</v>
      </c>
      <c r="G185" s="2" t="s">
        <v>245</v>
      </c>
      <c r="H185" s="2">
        <v>29</v>
      </c>
      <c r="I185" t="str">
        <f t="shared" si="7"/>
        <v>20 + Yrs</v>
      </c>
    </row>
    <row r="186" spans="2:9" hidden="1" x14ac:dyDescent="0.3">
      <c r="B186" s="2">
        <v>58</v>
      </c>
      <c r="C186" s="2" t="str">
        <f t="shared" si="6"/>
        <v>50+</v>
      </c>
      <c r="D186" s="2" t="s">
        <v>231</v>
      </c>
      <c r="E186" s="2" t="s">
        <v>233</v>
      </c>
      <c r="F186" s="2" t="s">
        <v>242</v>
      </c>
      <c r="G186" s="2" t="s">
        <v>244</v>
      </c>
      <c r="H186" s="2">
        <v>1</v>
      </c>
      <c r="I186" t="str">
        <f t="shared" si="7"/>
        <v>0-4 Yrs</v>
      </c>
    </row>
    <row r="187" spans="2:9" hidden="1" x14ac:dyDescent="0.3">
      <c r="B187" s="2">
        <v>49</v>
      </c>
      <c r="C187" s="2" t="str">
        <f t="shared" si="6"/>
        <v>40-50</v>
      </c>
      <c r="D187" s="2" t="s">
        <v>231</v>
      </c>
      <c r="E187" s="2" t="s">
        <v>236</v>
      </c>
      <c r="F187" s="2" t="s">
        <v>240</v>
      </c>
      <c r="G187" s="2" t="s">
        <v>245</v>
      </c>
      <c r="H187" s="2">
        <v>14</v>
      </c>
      <c r="I187" t="str">
        <f t="shared" si="7"/>
        <v>11-20 Yrs</v>
      </c>
    </row>
    <row r="188" spans="2:9" hidden="1" x14ac:dyDescent="0.3">
      <c r="B188" s="2">
        <v>43</v>
      </c>
      <c r="C188" s="2" t="str">
        <f t="shared" si="6"/>
        <v>40-50</v>
      </c>
      <c r="D188" s="2" t="s">
        <v>231</v>
      </c>
      <c r="E188" s="2" t="s">
        <v>235</v>
      </c>
      <c r="F188" s="2" t="s">
        <v>243</v>
      </c>
      <c r="G188" s="2" t="s">
        <v>244</v>
      </c>
      <c r="H188" s="2">
        <v>9</v>
      </c>
      <c r="I188" t="str">
        <f t="shared" si="7"/>
        <v>5-10 Yrs</v>
      </c>
    </row>
    <row r="189" spans="2:9" hidden="1" x14ac:dyDescent="0.3">
      <c r="B189" s="2">
        <v>38</v>
      </c>
      <c r="C189" s="2" t="str">
        <f t="shared" si="6"/>
        <v>30-40</v>
      </c>
      <c r="D189" s="2" t="s">
        <v>231</v>
      </c>
      <c r="E189" s="2" t="s">
        <v>235</v>
      </c>
      <c r="F189" s="2" t="s">
        <v>241</v>
      </c>
      <c r="G189" s="2" t="s">
        <v>245</v>
      </c>
      <c r="H189" s="2">
        <v>22</v>
      </c>
      <c r="I189" t="str">
        <f t="shared" si="7"/>
        <v>20 + Yrs</v>
      </c>
    </row>
    <row r="190" spans="2:9" hidden="1" x14ac:dyDescent="0.3">
      <c r="B190" s="2">
        <v>60</v>
      </c>
      <c r="C190" s="2" t="str">
        <f t="shared" si="6"/>
        <v>50+</v>
      </c>
      <c r="D190" s="2" t="s">
        <v>231</v>
      </c>
      <c r="E190" s="2" t="s">
        <v>237</v>
      </c>
      <c r="F190" s="2" t="s">
        <v>240</v>
      </c>
      <c r="G190" s="2" t="s">
        <v>245</v>
      </c>
      <c r="H190" s="2">
        <v>30</v>
      </c>
      <c r="I190" t="str">
        <f t="shared" si="7"/>
        <v>20 + Yrs</v>
      </c>
    </row>
    <row r="191" spans="2:9" hidden="1" x14ac:dyDescent="0.3">
      <c r="B191" s="2">
        <v>50</v>
      </c>
      <c r="C191" s="2" t="str">
        <f t="shared" si="6"/>
        <v>40-50</v>
      </c>
      <c r="D191" s="2" t="s">
        <v>232</v>
      </c>
      <c r="E191" s="2" t="s">
        <v>236</v>
      </c>
      <c r="F191" s="2" t="s">
        <v>240</v>
      </c>
      <c r="G191" s="2" t="s">
        <v>244</v>
      </c>
      <c r="H191" s="2">
        <v>8</v>
      </c>
      <c r="I191" t="str">
        <f t="shared" si="7"/>
        <v>5-10 Yrs</v>
      </c>
    </row>
    <row r="192" spans="2:9" hidden="1" x14ac:dyDescent="0.3">
      <c r="B192" s="2">
        <v>43</v>
      </c>
      <c r="C192" s="2" t="str">
        <f t="shared" si="6"/>
        <v>40-50</v>
      </c>
      <c r="D192" s="2" t="s">
        <v>232</v>
      </c>
      <c r="E192" s="2" t="s">
        <v>235</v>
      </c>
      <c r="F192" s="2" t="s">
        <v>240</v>
      </c>
      <c r="G192" s="2" t="s">
        <v>244</v>
      </c>
      <c r="H192" s="2">
        <v>13</v>
      </c>
      <c r="I192" t="str">
        <f t="shared" si="7"/>
        <v>11-20 Yrs</v>
      </c>
    </row>
    <row r="193" spans="2:9" x14ac:dyDescent="0.3">
      <c r="B193" s="2">
        <v>40</v>
      </c>
      <c r="C193" s="2" t="str">
        <f t="shared" si="6"/>
        <v>30-40</v>
      </c>
      <c r="D193" s="2" t="s">
        <v>231</v>
      </c>
      <c r="E193" s="2" t="s">
        <v>236</v>
      </c>
      <c r="F193" s="2" t="s">
        <v>239</v>
      </c>
      <c r="G193" s="2" t="s">
        <v>246</v>
      </c>
      <c r="H193" s="2">
        <v>22</v>
      </c>
      <c r="I193" s="2" t="str">
        <f t="shared" si="7"/>
        <v>20 + Yrs</v>
      </c>
    </row>
    <row r="194" spans="2:9" x14ac:dyDescent="0.3">
      <c r="B194" s="2">
        <v>40</v>
      </c>
      <c r="C194" s="2" t="str">
        <f t="shared" si="6"/>
        <v>30-40</v>
      </c>
      <c r="D194" s="2" t="s">
        <v>232</v>
      </c>
      <c r="E194" s="2" t="s">
        <v>236</v>
      </c>
      <c r="F194" s="2" t="s">
        <v>242</v>
      </c>
      <c r="G194" s="2" t="s">
        <v>246</v>
      </c>
      <c r="H194" s="2">
        <v>9</v>
      </c>
      <c r="I194" s="2" t="str">
        <f t="shared" si="7"/>
        <v>5-10 Yrs</v>
      </c>
    </row>
    <row r="195" spans="2:9" hidden="1" x14ac:dyDescent="0.3">
      <c r="B195" s="6">
        <v>44</v>
      </c>
      <c r="C195" s="6" t="str">
        <f t="shared" si="6"/>
        <v>40-50</v>
      </c>
      <c r="D195" s="6" t="s">
        <v>231</v>
      </c>
      <c r="E195" s="6" t="s">
        <v>234</v>
      </c>
      <c r="F195" s="6" t="s">
        <v>242</v>
      </c>
      <c r="G195" s="6" t="s">
        <v>245</v>
      </c>
      <c r="H195" s="6">
        <v>19</v>
      </c>
      <c r="I195" t="str">
        <f t="shared" si="7"/>
        <v>11-20 Yrs</v>
      </c>
    </row>
    <row r="196" spans="2:9" hidden="1" x14ac:dyDescent="0.3">
      <c r="B196" s="2">
        <v>48</v>
      </c>
      <c r="C196" s="2" t="str">
        <f t="shared" si="6"/>
        <v>40-50</v>
      </c>
      <c r="D196" s="2" t="s">
        <v>231</v>
      </c>
      <c r="E196" s="2" t="s">
        <v>236</v>
      </c>
      <c r="F196" s="2" t="s">
        <v>242</v>
      </c>
      <c r="G196" s="2" t="s">
        <v>244</v>
      </c>
      <c r="H196" s="2">
        <v>11</v>
      </c>
      <c r="I196" t="str">
        <f t="shared" si="7"/>
        <v>11-20 Yrs</v>
      </c>
    </row>
    <row r="197" spans="2:9" x14ac:dyDescent="0.3">
      <c r="B197" s="2">
        <v>40</v>
      </c>
      <c r="C197" s="2" t="str">
        <f t="shared" ref="C197:C260" si="8">IF(B197&lt;30,"&lt;30",IF(B197&lt;=40,"30-40",IF(B197&lt;=50,"40-50",IF(B197&gt;50,"50+","Unknown"))))</f>
        <v>30-40</v>
      </c>
      <c r="D197" s="2" t="s">
        <v>232</v>
      </c>
      <c r="E197" s="2" t="s">
        <v>237</v>
      </c>
      <c r="F197" s="2" t="s">
        <v>239</v>
      </c>
      <c r="G197" s="2" t="s">
        <v>246</v>
      </c>
      <c r="H197" s="2">
        <v>15</v>
      </c>
      <c r="I197" s="2" t="str">
        <f t="shared" ref="I197:I260" si="9">IF(H197&lt;=4,"0-4 Yrs",IF(H197&lt;=10,"5-10 Yrs",IF(H197&lt;=20,"11-20 Yrs",IF(H197&gt;20,"20 + Yrs","Unknown"))))</f>
        <v>11-20 Yrs</v>
      </c>
    </row>
    <row r="198" spans="2:9" hidden="1" x14ac:dyDescent="0.3">
      <c r="B198" s="6">
        <v>50</v>
      </c>
      <c r="C198" s="6" t="str">
        <f t="shared" si="8"/>
        <v>40-50</v>
      </c>
      <c r="D198" s="6" t="s">
        <v>231</v>
      </c>
      <c r="E198" s="6" t="s">
        <v>237</v>
      </c>
      <c r="F198" s="6" t="s">
        <v>243</v>
      </c>
      <c r="G198" s="6" t="s">
        <v>245</v>
      </c>
      <c r="H198" s="6">
        <v>29</v>
      </c>
      <c r="I198" t="str">
        <f t="shared" si="9"/>
        <v>20 + Yrs</v>
      </c>
    </row>
    <row r="199" spans="2:9" hidden="1" x14ac:dyDescent="0.3">
      <c r="B199" s="2">
        <v>26</v>
      </c>
      <c r="C199" s="2" t="str">
        <f t="shared" si="8"/>
        <v>&lt;30</v>
      </c>
      <c r="D199" s="2" t="s">
        <v>231</v>
      </c>
      <c r="E199" s="2" t="s">
        <v>237</v>
      </c>
      <c r="F199" s="2" t="s">
        <v>240</v>
      </c>
      <c r="G199" s="2" t="s">
        <v>245</v>
      </c>
      <c r="H199" s="2">
        <v>23</v>
      </c>
      <c r="I199" t="str">
        <f t="shared" si="9"/>
        <v>20 + Yrs</v>
      </c>
    </row>
    <row r="200" spans="2:9" hidden="1" x14ac:dyDescent="0.3">
      <c r="B200" s="2">
        <v>41</v>
      </c>
      <c r="C200" s="2" t="str">
        <f t="shared" si="8"/>
        <v>40-50</v>
      </c>
      <c r="D200" s="2" t="s">
        <v>231</v>
      </c>
      <c r="E200" s="2" t="s">
        <v>234</v>
      </c>
      <c r="F200" s="2" t="s">
        <v>239</v>
      </c>
      <c r="G200" s="2" t="s">
        <v>244</v>
      </c>
      <c r="H200" s="2">
        <v>10</v>
      </c>
      <c r="I200" t="str">
        <f t="shared" si="9"/>
        <v>5-10 Yrs</v>
      </c>
    </row>
    <row r="201" spans="2:9" hidden="1" x14ac:dyDescent="0.3">
      <c r="B201" s="2">
        <v>50</v>
      </c>
      <c r="C201" s="2" t="str">
        <f t="shared" si="8"/>
        <v>40-50</v>
      </c>
      <c r="D201" s="2" t="s">
        <v>232</v>
      </c>
      <c r="E201" s="2" t="s">
        <v>233</v>
      </c>
      <c r="F201" s="2" t="s">
        <v>239</v>
      </c>
      <c r="G201" s="2" t="s">
        <v>244</v>
      </c>
      <c r="H201" s="2">
        <v>26</v>
      </c>
      <c r="I201" t="str">
        <f t="shared" si="9"/>
        <v>20 + Yrs</v>
      </c>
    </row>
    <row r="202" spans="2:9" x14ac:dyDescent="0.3">
      <c r="B202" s="2">
        <v>40</v>
      </c>
      <c r="C202" s="2" t="str">
        <f t="shared" si="8"/>
        <v>30-40</v>
      </c>
      <c r="D202" s="2" t="s">
        <v>231</v>
      </c>
      <c r="E202" s="2" t="s">
        <v>233</v>
      </c>
      <c r="F202" s="2" t="s">
        <v>240</v>
      </c>
      <c r="G202" s="2" t="s">
        <v>246</v>
      </c>
      <c r="H202" s="2">
        <v>4</v>
      </c>
      <c r="I202" s="2" t="str">
        <f t="shared" si="9"/>
        <v>0-4 Yrs</v>
      </c>
    </row>
    <row r="203" spans="2:9" x14ac:dyDescent="0.3">
      <c r="B203" s="2">
        <v>40</v>
      </c>
      <c r="C203" s="2" t="str">
        <f t="shared" si="8"/>
        <v>30-40</v>
      </c>
      <c r="D203" s="2" t="s">
        <v>231</v>
      </c>
      <c r="E203" s="2" t="s">
        <v>233</v>
      </c>
      <c r="F203" s="2" t="s">
        <v>243</v>
      </c>
      <c r="G203" s="2" t="s">
        <v>246</v>
      </c>
      <c r="H203" s="2">
        <v>19</v>
      </c>
      <c r="I203" s="2" t="str">
        <f t="shared" si="9"/>
        <v>11-20 Yrs</v>
      </c>
    </row>
    <row r="204" spans="2:9" x14ac:dyDescent="0.3">
      <c r="B204" s="2">
        <v>40</v>
      </c>
      <c r="C204" s="2" t="str">
        <f t="shared" si="8"/>
        <v>30-40</v>
      </c>
      <c r="D204" s="2" t="s">
        <v>231</v>
      </c>
      <c r="E204" s="2" t="s">
        <v>237</v>
      </c>
      <c r="F204" s="2" t="s">
        <v>239</v>
      </c>
      <c r="G204" s="2" t="s">
        <v>246</v>
      </c>
      <c r="H204" s="2">
        <v>18</v>
      </c>
      <c r="I204" s="2" t="str">
        <f t="shared" si="9"/>
        <v>11-20 Yrs</v>
      </c>
    </row>
    <row r="205" spans="2:9" hidden="1" x14ac:dyDescent="0.3">
      <c r="B205" s="6">
        <v>48</v>
      </c>
      <c r="C205" s="6" t="str">
        <f t="shared" si="8"/>
        <v>40-50</v>
      </c>
      <c r="D205" s="6" t="s">
        <v>231</v>
      </c>
      <c r="E205" s="6" t="s">
        <v>233</v>
      </c>
      <c r="F205" s="6" t="s">
        <v>239</v>
      </c>
      <c r="G205" s="6" t="s">
        <v>245</v>
      </c>
      <c r="H205" s="6">
        <v>26</v>
      </c>
      <c r="I205" t="str">
        <f t="shared" si="9"/>
        <v>20 + Yrs</v>
      </c>
    </row>
    <row r="206" spans="2:9" hidden="1" x14ac:dyDescent="0.3">
      <c r="B206" s="2">
        <v>51</v>
      </c>
      <c r="C206" s="2" t="str">
        <f t="shared" si="8"/>
        <v>50+</v>
      </c>
      <c r="D206" s="2" t="s">
        <v>231</v>
      </c>
      <c r="E206" s="2" t="s">
        <v>234</v>
      </c>
      <c r="F206" s="2" t="s">
        <v>241</v>
      </c>
      <c r="G206" s="2" t="s">
        <v>245</v>
      </c>
      <c r="H206" s="2">
        <v>2</v>
      </c>
      <c r="I206" t="str">
        <f t="shared" si="9"/>
        <v>0-4 Yrs</v>
      </c>
    </row>
    <row r="207" spans="2:9" hidden="1" x14ac:dyDescent="0.3">
      <c r="B207" s="2">
        <v>59</v>
      </c>
      <c r="C207" s="2" t="str">
        <f t="shared" si="8"/>
        <v>50+</v>
      </c>
      <c r="D207" s="2" t="s">
        <v>232</v>
      </c>
      <c r="E207" s="2" t="s">
        <v>237</v>
      </c>
      <c r="F207" s="2" t="s">
        <v>242</v>
      </c>
      <c r="G207" s="2" t="s">
        <v>245</v>
      </c>
      <c r="H207" s="2">
        <v>30</v>
      </c>
      <c r="I207" t="str">
        <f t="shared" si="9"/>
        <v>20 + Yrs</v>
      </c>
    </row>
    <row r="208" spans="2:9" hidden="1" x14ac:dyDescent="0.3">
      <c r="B208" s="2">
        <v>49</v>
      </c>
      <c r="C208" s="2" t="str">
        <f t="shared" si="8"/>
        <v>40-50</v>
      </c>
      <c r="D208" s="2" t="s">
        <v>231</v>
      </c>
      <c r="E208" s="2" t="s">
        <v>235</v>
      </c>
      <c r="F208" s="2" t="s">
        <v>240</v>
      </c>
      <c r="G208" s="2" t="s">
        <v>244</v>
      </c>
      <c r="H208" s="2">
        <v>21</v>
      </c>
      <c r="I208" t="str">
        <f t="shared" si="9"/>
        <v>20 + Yrs</v>
      </c>
    </row>
    <row r="209" spans="2:9" x14ac:dyDescent="0.3">
      <c r="B209" s="2">
        <v>41</v>
      </c>
      <c r="C209" s="2" t="str">
        <f t="shared" si="8"/>
        <v>40-50</v>
      </c>
      <c r="D209" s="2" t="s">
        <v>232</v>
      </c>
      <c r="E209" s="2" t="s">
        <v>234</v>
      </c>
      <c r="F209" s="2" t="s">
        <v>241</v>
      </c>
      <c r="G209" s="2" t="s">
        <v>246</v>
      </c>
      <c r="H209" s="2">
        <v>8</v>
      </c>
      <c r="I209" s="2" t="str">
        <f t="shared" si="9"/>
        <v>5-10 Yrs</v>
      </c>
    </row>
    <row r="210" spans="2:9" hidden="1" x14ac:dyDescent="0.3">
      <c r="B210" s="6">
        <v>57</v>
      </c>
      <c r="C210" s="6" t="str">
        <f t="shared" si="8"/>
        <v>50+</v>
      </c>
      <c r="D210" s="6" t="s">
        <v>231</v>
      </c>
      <c r="E210" s="6" t="s">
        <v>235</v>
      </c>
      <c r="F210" s="6" t="s">
        <v>242</v>
      </c>
      <c r="G210" s="6" t="s">
        <v>244</v>
      </c>
      <c r="H210" s="6">
        <v>16</v>
      </c>
      <c r="I210" t="str">
        <f t="shared" si="9"/>
        <v>11-20 Yrs</v>
      </c>
    </row>
    <row r="211" spans="2:9" hidden="1" x14ac:dyDescent="0.3">
      <c r="B211" s="2">
        <v>39</v>
      </c>
      <c r="C211" s="2" t="str">
        <f t="shared" si="8"/>
        <v>30-40</v>
      </c>
      <c r="D211" s="2" t="s">
        <v>232</v>
      </c>
      <c r="E211" s="2" t="s">
        <v>233</v>
      </c>
      <c r="F211" s="2" t="s">
        <v>239</v>
      </c>
      <c r="G211" s="2" t="s">
        <v>245</v>
      </c>
      <c r="H211" s="2">
        <v>15</v>
      </c>
      <c r="I211" t="str">
        <f t="shared" si="9"/>
        <v>11-20 Yrs</v>
      </c>
    </row>
    <row r="212" spans="2:9" hidden="1" x14ac:dyDescent="0.3">
      <c r="B212" s="2">
        <v>30</v>
      </c>
      <c r="C212" s="2" t="str">
        <f t="shared" si="8"/>
        <v>30-40</v>
      </c>
      <c r="D212" s="2" t="s">
        <v>231</v>
      </c>
      <c r="E212" s="2" t="s">
        <v>233</v>
      </c>
      <c r="F212" s="2" t="s">
        <v>239</v>
      </c>
      <c r="G212" s="2" t="s">
        <v>245</v>
      </c>
      <c r="H212" s="2">
        <v>15</v>
      </c>
      <c r="I212" t="str">
        <f t="shared" si="9"/>
        <v>11-20 Yrs</v>
      </c>
    </row>
    <row r="213" spans="2:9" x14ac:dyDescent="0.3">
      <c r="B213" s="2">
        <v>41</v>
      </c>
      <c r="C213" s="2" t="str">
        <f t="shared" si="8"/>
        <v>40-50</v>
      </c>
      <c r="D213" s="2" t="s">
        <v>232</v>
      </c>
      <c r="E213" s="2" t="s">
        <v>236</v>
      </c>
      <c r="F213" s="2" t="s">
        <v>239</v>
      </c>
      <c r="G213" s="2" t="s">
        <v>246</v>
      </c>
      <c r="H213" s="2">
        <v>2</v>
      </c>
      <c r="I213" s="2" t="str">
        <f t="shared" si="9"/>
        <v>0-4 Yrs</v>
      </c>
    </row>
    <row r="214" spans="2:9" hidden="1" x14ac:dyDescent="0.3">
      <c r="B214" s="6">
        <v>50</v>
      </c>
      <c r="C214" s="6" t="str">
        <f t="shared" si="8"/>
        <v>40-50</v>
      </c>
      <c r="D214" s="6" t="s">
        <v>232</v>
      </c>
      <c r="E214" s="6" t="s">
        <v>236</v>
      </c>
      <c r="F214" s="6" t="s">
        <v>243</v>
      </c>
      <c r="G214" s="6" t="s">
        <v>244</v>
      </c>
      <c r="H214" s="6">
        <v>19</v>
      </c>
      <c r="I214" t="str">
        <f t="shared" si="9"/>
        <v>11-20 Yrs</v>
      </c>
    </row>
    <row r="215" spans="2:9" hidden="1" x14ac:dyDescent="0.3">
      <c r="B215" s="2">
        <v>44</v>
      </c>
      <c r="C215" s="2" t="str">
        <f t="shared" si="8"/>
        <v>40-50</v>
      </c>
      <c r="D215" s="2" t="s">
        <v>232</v>
      </c>
      <c r="E215" s="2" t="s">
        <v>233</v>
      </c>
      <c r="F215" s="2" t="s">
        <v>240</v>
      </c>
      <c r="G215" s="2" t="s">
        <v>245</v>
      </c>
      <c r="H215" s="2">
        <v>10</v>
      </c>
      <c r="I215" t="str">
        <f t="shared" si="9"/>
        <v>5-10 Yrs</v>
      </c>
    </row>
    <row r="216" spans="2:9" hidden="1" x14ac:dyDescent="0.3">
      <c r="B216" s="2">
        <v>32</v>
      </c>
      <c r="C216" s="2" t="str">
        <f t="shared" si="8"/>
        <v>30-40</v>
      </c>
      <c r="D216" s="2" t="s">
        <v>231</v>
      </c>
      <c r="E216" s="2" t="s">
        <v>233</v>
      </c>
      <c r="F216" s="2" t="s">
        <v>238</v>
      </c>
      <c r="G216" s="2" t="s">
        <v>245</v>
      </c>
      <c r="H216" s="2">
        <v>5</v>
      </c>
      <c r="I216" t="str">
        <f t="shared" si="9"/>
        <v>5-10 Yrs</v>
      </c>
    </row>
    <row r="217" spans="2:9" hidden="1" x14ac:dyDescent="0.3">
      <c r="B217" s="2">
        <v>36</v>
      </c>
      <c r="C217" s="2" t="str">
        <f t="shared" si="8"/>
        <v>30-40</v>
      </c>
      <c r="D217" s="2" t="s">
        <v>231</v>
      </c>
      <c r="E217" s="2" t="s">
        <v>237</v>
      </c>
      <c r="F217" s="2" t="s">
        <v>241</v>
      </c>
      <c r="G217" s="2" t="s">
        <v>245</v>
      </c>
      <c r="H217" s="2">
        <v>11</v>
      </c>
      <c r="I217" t="str">
        <f t="shared" si="9"/>
        <v>11-20 Yrs</v>
      </c>
    </row>
    <row r="218" spans="2:9" hidden="1" x14ac:dyDescent="0.3">
      <c r="B218" s="2">
        <v>35</v>
      </c>
      <c r="C218" s="2" t="str">
        <f t="shared" si="8"/>
        <v>30-40</v>
      </c>
      <c r="D218" s="2" t="s">
        <v>231</v>
      </c>
      <c r="E218" s="2" t="s">
        <v>234</v>
      </c>
      <c r="F218" s="2" t="s">
        <v>242</v>
      </c>
      <c r="G218" s="2" t="s">
        <v>245</v>
      </c>
      <c r="H218" s="2">
        <v>29</v>
      </c>
      <c r="I218" t="str">
        <f t="shared" si="9"/>
        <v>20 + Yrs</v>
      </c>
    </row>
    <row r="219" spans="2:9" hidden="1" x14ac:dyDescent="0.3">
      <c r="B219" s="2">
        <v>49</v>
      </c>
      <c r="C219" s="2" t="str">
        <f t="shared" si="8"/>
        <v>40-50</v>
      </c>
      <c r="D219" s="2" t="s">
        <v>231</v>
      </c>
      <c r="E219" s="2" t="s">
        <v>234</v>
      </c>
      <c r="F219" s="2" t="s">
        <v>240</v>
      </c>
      <c r="G219" s="2" t="s">
        <v>245</v>
      </c>
      <c r="H219" s="2">
        <v>27</v>
      </c>
      <c r="I219" t="str">
        <f t="shared" si="9"/>
        <v>20 + Yrs</v>
      </c>
    </row>
    <row r="220" spans="2:9" x14ac:dyDescent="0.3">
      <c r="B220" s="2">
        <v>42</v>
      </c>
      <c r="C220" s="2" t="str">
        <f t="shared" si="8"/>
        <v>40-50</v>
      </c>
      <c r="D220" s="2" t="s">
        <v>232</v>
      </c>
      <c r="E220" s="2" t="s">
        <v>235</v>
      </c>
      <c r="F220" s="2" t="s">
        <v>240</v>
      </c>
      <c r="G220" s="2" t="s">
        <v>246</v>
      </c>
      <c r="H220" s="2">
        <v>29</v>
      </c>
      <c r="I220" s="2" t="str">
        <f t="shared" si="9"/>
        <v>20 + Yrs</v>
      </c>
    </row>
    <row r="221" spans="2:9" hidden="1" x14ac:dyDescent="0.3">
      <c r="B221" s="6">
        <v>39</v>
      </c>
      <c r="C221" s="6" t="str">
        <f t="shared" si="8"/>
        <v>30-40</v>
      </c>
      <c r="D221" s="6" t="s">
        <v>231</v>
      </c>
      <c r="E221" s="6" t="s">
        <v>234</v>
      </c>
      <c r="F221" s="6" t="s">
        <v>241</v>
      </c>
      <c r="G221" s="6" t="s">
        <v>244</v>
      </c>
      <c r="H221" s="6">
        <v>12</v>
      </c>
      <c r="I221" t="str">
        <f t="shared" si="9"/>
        <v>11-20 Yrs</v>
      </c>
    </row>
    <row r="222" spans="2:9" x14ac:dyDescent="0.3">
      <c r="B222" s="2">
        <v>42</v>
      </c>
      <c r="C222" s="2" t="str">
        <f t="shared" si="8"/>
        <v>40-50</v>
      </c>
      <c r="D222" s="2" t="s">
        <v>232</v>
      </c>
      <c r="E222" s="2" t="s">
        <v>235</v>
      </c>
      <c r="F222" s="2" t="s">
        <v>243</v>
      </c>
      <c r="G222" s="2" t="s">
        <v>246</v>
      </c>
      <c r="H222" s="2">
        <v>28</v>
      </c>
      <c r="I222" s="2" t="str">
        <f t="shared" si="9"/>
        <v>20 + Yrs</v>
      </c>
    </row>
    <row r="223" spans="2:9" hidden="1" x14ac:dyDescent="0.3">
      <c r="B223" s="6">
        <v>44</v>
      </c>
      <c r="C223" s="6" t="str">
        <f t="shared" si="8"/>
        <v>40-50</v>
      </c>
      <c r="D223" s="6" t="s">
        <v>231</v>
      </c>
      <c r="E223" s="6" t="s">
        <v>234</v>
      </c>
      <c r="F223" s="6" t="s">
        <v>243</v>
      </c>
      <c r="G223" s="6" t="s">
        <v>245</v>
      </c>
      <c r="H223" s="6">
        <v>7</v>
      </c>
      <c r="I223" t="str">
        <f t="shared" si="9"/>
        <v>5-10 Yrs</v>
      </c>
    </row>
    <row r="224" spans="2:9" hidden="1" x14ac:dyDescent="0.3">
      <c r="B224" s="2">
        <v>27</v>
      </c>
      <c r="C224" s="2" t="str">
        <f t="shared" si="8"/>
        <v>&lt;30</v>
      </c>
      <c r="D224" s="2" t="s">
        <v>232</v>
      </c>
      <c r="E224" s="2" t="s">
        <v>234</v>
      </c>
      <c r="F224" s="2" t="s">
        <v>243</v>
      </c>
      <c r="G224" s="2" t="s">
        <v>244</v>
      </c>
      <c r="H224" s="2">
        <v>8</v>
      </c>
      <c r="I224" t="str">
        <f t="shared" si="9"/>
        <v>5-10 Yrs</v>
      </c>
    </row>
    <row r="225" spans="2:9" hidden="1" x14ac:dyDescent="0.3">
      <c r="B225" s="2">
        <v>36</v>
      </c>
      <c r="C225" s="2" t="str">
        <f t="shared" si="8"/>
        <v>30-40</v>
      </c>
      <c r="D225" s="2" t="s">
        <v>232</v>
      </c>
      <c r="E225" s="2" t="s">
        <v>234</v>
      </c>
      <c r="F225" s="2" t="s">
        <v>239</v>
      </c>
      <c r="G225" s="2" t="s">
        <v>245</v>
      </c>
      <c r="H225" s="2">
        <v>13</v>
      </c>
      <c r="I225" t="str">
        <f t="shared" si="9"/>
        <v>11-20 Yrs</v>
      </c>
    </row>
    <row r="226" spans="2:9" x14ac:dyDescent="0.3">
      <c r="B226" s="2">
        <v>42</v>
      </c>
      <c r="C226" s="2" t="str">
        <f t="shared" si="8"/>
        <v>40-50</v>
      </c>
      <c r="D226" s="2" t="s">
        <v>231</v>
      </c>
      <c r="E226" s="2" t="s">
        <v>235</v>
      </c>
      <c r="F226" s="2" t="s">
        <v>242</v>
      </c>
      <c r="G226" s="2" t="s">
        <v>246</v>
      </c>
      <c r="H226" s="2">
        <v>14</v>
      </c>
      <c r="I226" s="2" t="str">
        <f t="shared" si="9"/>
        <v>11-20 Yrs</v>
      </c>
    </row>
    <row r="227" spans="2:9" hidden="1" x14ac:dyDescent="0.3">
      <c r="B227" s="6">
        <v>45</v>
      </c>
      <c r="C227" s="6" t="str">
        <f t="shared" si="8"/>
        <v>40-50</v>
      </c>
      <c r="D227" s="6" t="s">
        <v>232</v>
      </c>
      <c r="E227" s="6" t="s">
        <v>237</v>
      </c>
      <c r="F227" s="6" t="s">
        <v>243</v>
      </c>
      <c r="G227" s="6" t="s">
        <v>244</v>
      </c>
      <c r="H227" s="6">
        <v>27</v>
      </c>
      <c r="I227" t="str">
        <f t="shared" si="9"/>
        <v>20 + Yrs</v>
      </c>
    </row>
    <row r="228" spans="2:9" x14ac:dyDescent="0.3">
      <c r="B228" s="2">
        <v>42</v>
      </c>
      <c r="C228" s="2" t="str">
        <f t="shared" si="8"/>
        <v>40-50</v>
      </c>
      <c r="D228" s="2" t="s">
        <v>232</v>
      </c>
      <c r="E228" s="2" t="s">
        <v>234</v>
      </c>
      <c r="F228" s="2" t="s">
        <v>241</v>
      </c>
      <c r="G228" s="2" t="s">
        <v>246</v>
      </c>
      <c r="H228" s="2">
        <v>5</v>
      </c>
      <c r="I228" s="2" t="str">
        <f t="shared" si="9"/>
        <v>5-10 Yrs</v>
      </c>
    </row>
    <row r="229" spans="2:9" x14ac:dyDescent="0.3">
      <c r="B229" s="2">
        <v>43</v>
      </c>
      <c r="C229" s="2" t="str">
        <f t="shared" si="8"/>
        <v>40-50</v>
      </c>
      <c r="D229" s="2" t="s">
        <v>231</v>
      </c>
      <c r="E229" s="2" t="s">
        <v>236</v>
      </c>
      <c r="F229" s="2" t="s">
        <v>240</v>
      </c>
      <c r="G229" s="2" t="s">
        <v>246</v>
      </c>
      <c r="H229" s="2">
        <v>1</v>
      </c>
      <c r="I229" s="2" t="str">
        <f t="shared" si="9"/>
        <v>0-4 Yrs</v>
      </c>
    </row>
    <row r="230" spans="2:9" x14ac:dyDescent="0.3">
      <c r="B230" s="2">
        <v>43</v>
      </c>
      <c r="C230" s="2" t="str">
        <f t="shared" si="8"/>
        <v>40-50</v>
      </c>
      <c r="D230" s="2" t="s">
        <v>231</v>
      </c>
      <c r="E230" s="2" t="s">
        <v>233</v>
      </c>
      <c r="F230" s="2" t="s">
        <v>240</v>
      </c>
      <c r="G230" s="2" t="s">
        <v>246</v>
      </c>
      <c r="H230" s="2">
        <v>25</v>
      </c>
      <c r="I230" s="2" t="str">
        <f t="shared" si="9"/>
        <v>20 + Yrs</v>
      </c>
    </row>
    <row r="231" spans="2:9" hidden="1" x14ac:dyDescent="0.3">
      <c r="B231" s="6">
        <v>29</v>
      </c>
      <c r="C231" s="6" t="str">
        <f t="shared" si="8"/>
        <v>&lt;30</v>
      </c>
      <c r="D231" s="6" t="s">
        <v>232</v>
      </c>
      <c r="E231" s="6" t="s">
        <v>236</v>
      </c>
      <c r="F231" s="6" t="s">
        <v>238</v>
      </c>
      <c r="G231" s="6" t="s">
        <v>245</v>
      </c>
      <c r="H231" s="6">
        <v>16</v>
      </c>
      <c r="I231" t="str">
        <f t="shared" si="9"/>
        <v>11-20 Yrs</v>
      </c>
    </row>
    <row r="232" spans="2:9" hidden="1" x14ac:dyDescent="0.3">
      <c r="B232" s="2">
        <v>55</v>
      </c>
      <c r="C232" s="2" t="str">
        <f t="shared" si="8"/>
        <v>50+</v>
      </c>
      <c r="D232" s="2" t="s">
        <v>232</v>
      </c>
      <c r="E232" s="2" t="s">
        <v>235</v>
      </c>
      <c r="F232" s="2" t="s">
        <v>241</v>
      </c>
      <c r="G232" s="2" t="s">
        <v>244</v>
      </c>
      <c r="H232" s="2">
        <v>4</v>
      </c>
      <c r="I232" t="str">
        <f t="shared" si="9"/>
        <v>0-4 Yrs</v>
      </c>
    </row>
    <row r="233" spans="2:9" hidden="1" x14ac:dyDescent="0.3">
      <c r="B233" s="2">
        <v>35</v>
      </c>
      <c r="C233" s="2" t="str">
        <f t="shared" si="8"/>
        <v>30-40</v>
      </c>
      <c r="D233" s="2" t="s">
        <v>232</v>
      </c>
      <c r="E233" s="2" t="s">
        <v>233</v>
      </c>
      <c r="F233" s="2" t="s">
        <v>240</v>
      </c>
      <c r="G233" s="2" t="s">
        <v>244</v>
      </c>
      <c r="H233" s="2">
        <v>7</v>
      </c>
      <c r="I233" t="str">
        <f t="shared" si="9"/>
        <v>5-10 Yrs</v>
      </c>
    </row>
    <row r="234" spans="2:9" x14ac:dyDescent="0.3">
      <c r="B234" s="2">
        <v>44</v>
      </c>
      <c r="C234" s="2" t="str">
        <f t="shared" si="8"/>
        <v>40-50</v>
      </c>
      <c r="D234" s="2" t="s">
        <v>232</v>
      </c>
      <c r="E234" s="2" t="s">
        <v>235</v>
      </c>
      <c r="F234" s="2" t="s">
        <v>239</v>
      </c>
      <c r="G234" s="2" t="s">
        <v>246</v>
      </c>
      <c r="H234" s="2">
        <v>17</v>
      </c>
      <c r="I234" s="2" t="str">
        <f t="shared" si="9"/>
        <v>11-20 Yrs</v>
      </c>
    </row>
    <row r="235" spans="2:9" x14ac:dyDescent="0.3">
      <c r="B235" s="2">
        <v>44</v>
      </c>
      <c r="C235" s="2" t="str">
        <f t="shared" si="8"/>
        <v>40-50</v>
      </c>
      <c r="D235" s="2" t="s">
        <v>231</v>
      </c>
      <c r="E235" s="2" t="s">
        <v>233</v>
      </c>
      <c r="F235" s="2" t="s">
        <v>238</v>
      </c>
      <c r="G235" s="2" t="s">
        <v>246</v>
      </c>
      <c r="H235" s="2">
        <v>19</v>
      </c>
      <c r="I235" s="2" t="str">
        <f t="shared" si="9"/>
        <v>11-20 Yrs</v>
      </c>
    </row>
    <row r="236" spans="2:9" hidden="1" x14ac:dyDescent="0.3">
      <c r="B236" s="6">
        <v>60</v>
      </c>
      <c r="C236" s="6" t="str">
        <f t="shared" si="8"/>
        <v>50+</v>
      </c>
      <c r="D236" s="6" t="s">
        <v>232</v>
      </c>
      <c r="E236" s="6" t="s">
        <v>234</v>
      </c>
      <c r="F236" s="6" t="s">
        <v>240</v>
      </c>
      <c r="G236" s="6" t="s">
        <v>245</v>
      </c>
      <c r="H236" s="6">
        <v>18</v>
      </c>
      <c r="I236" t="str">
        <f t="shared" si="9"/>
        <v>11-20 Yrs</v>
      </c>
    </row>
    <row r="237" spans="2:9" hidden="1" x14ac:dyDescent="0.3">
      <c r="B237" s="2">
        <v>55</v>
      </c>
      <c r="C237" s="2" t="str">
        <f t="shared" si="8"/>
        <v>50+</v>
      </c>
      <c r="D237" s="2" t="s">
        <v>231</v>
      </c>
      <c r="E237" s="2" t="s">
        <v>237</v>
      </c>
      <c r="F237" s="2" t="s">
        <v>241</v>
      </c>
      <c r="G237" s="2" t="s">
        <v>244</v>
      </c>
      <c r="H237" s="2">
        <v>28</v>
      </c>
      <c r="I237" t="str">
        <f t="shared" si="9"/>
        <v>20 + Yrs</v>
      </c>
    </row>
    <row r="238" spans="2:9" x14ac:dyDescent="0.3">
      <c r="B238" s="2">
        <v>45</v>
      </c>
      <c r="C238" s="2" t="str">
        <f t="shared" si="8"/>
        <v>40-50</v>
      </c>
      <c r="D238" s="2" t="s">
        <v>231</v>
      </c>
      <c r="E238" s="2" t="s">
        <v>235</v>
      </c>
      <c r="F238" s="2" t="s">
        <v>240</v>
      </c>
      <c r="G238" s="2" t="s">
        <v>246</v>
      </c>
      <c r="H238" s="2">
        <v>30</v>
      </c>
      <c r="I238" s="2" t="str">
        <f t="shared" si="9"/>
        <v>20 + Yrs</v>
      </c>
    </row>
    <row r="239" spans="2:9" hidden="1" x14ac:dyDescent="0.3">
      <c r="B239" s="6">
        <v>34</v>
      </c>
      <c r="C239" s="6" t="str">
        <f t="shared" si="8"/>
        <v>30-40</v>
      </c>
      <c r="D239" s="6" t="s">
        <v>231</v>
      </c>
      <c r="E239" s="6" t="s">
        <v>234</v>
      </c>
      <c r="F239" s="6" t="s">
        <v>239</v>
      </c>
      <c r="G239" s="6" t="s">
        <v>244</v>
      </c>
      <c r="H239" s="6">
        <v>3</v>
      </c>
      <c r="I239" t="str">
        <f t="shared" si="9"/>
        <v>0-4 Yrs</v>
      </c>
    </row>
    <row r="240" spans="2:9" hidden="1" x14ac:dyDescent="0.3">
      <c r="B240" s="2">
        <v>53</v>
      </c>
      <c r="C240" s="2" t="str">
        <f t="shared" si="8"/>
        <v>50+</v>
      </c>
      <c r="D240" s="2" t="s">
        <v>231</v>
      </c>
      <c r="E240" s="2" t="s">
        <v>234</v>
      </c>
      <c r="F240" s="2" t="s">
        <v>239</v>
      </c>
      <c r="G240" s="2" t="s">
        <v>244</v>
      </c>
      <c r="H240" s="2">
        <v>27</v>
      </c>
      <c r="I240" t="str">
        <f t="shared" si="9"/>
        <v>20 + Yrs</v>
      </c>
    </row>
    <row r="241" spans="2:9" hidden="1" x14ac:dyDescent="0.3">
      <c r="B241" s="2">
        <v>43</v>
      </c>
      <c r="C241" s="2" t="str">
        <f t="shared" si="8"/>
        <v>40-50</v>
      </c>
      <c r="D241" s="2" t="s">
        <v>231</v>
      </c>
      <c r="E241" s="2" t="s">
        <v>233</v>
      </c>
      <c r="F241" s="2" t="s">
        <v>240</v>
      </c>
      <c r="G241" s="2" t="s">
        <v>245</v>
      </c>
      <c r="H241" s="2">
        <v>13</v>
      </c>
      <c r="I241" t="str">
        <f t="shared" si="9"/>
        <v>11-20 Yrs</v>
      </c>
    </row>
    <row r="242" spans="2:9" hidden="1" x14ac:dyDescent="0.3">
      <c r="B242" s="2">
        <v>42</v>
      </c>
      <c r="C242" s="2" t="str">
        <f t="shared" si="8"/>
        <v>40-50</v>
      </c>
      <c r="D242" s="2" t="s">
        <v>231</v>
      </c>
      <c r="E242" s="2" t="s">
        <v>235</v>
      </c>
      <c r="F242" s="2" t="s">
        <v>243</v>
      </c>
      <c r="G242" s="2" t="s">
        <v>244</v>
      </c>
      <c r="H242" s="2">
        <v>8</v>
      </c>
      <c r="I242" t="str">
        <f t="shared" si="9"/>
        <v>5-10 Yrs</v>
      </c>
    </row>
    <row r="243" spans="2:9" hidden="1" x14ac:dyDescent="0.3">
      <c r="B243" s="2">
        <v>43</v>
      </c>
      <c r="C243" s="2" t="str">
        <f t="shared" si="8"/>
        <v>40-50</v>
      </c>
      <c r="D243" s="2" t="s">
        <v>231</v>
      </c>
      <c r="E243" s="2" t="s">
        <v>237</v>
      </c>
      <c r="F243" s="2" t="s">
        <v>238</v>
      </c>
      <c r="G243" s="2" t="s">
        <v>245</v>
      </c>
      <c r="H243" s="2">
        <v>27</v>
      </c>
      <c r="I243" t="str">
        <f t="shared" si="9"/>
        <v>20 + Yrs</v>
      </c>
    </row>
    <row r="244" spans="2:9" hidden="1" x14ac:dyDescent="0.3">
      <c r="B244" s="2">
        <v>37</v>
      </c>
      <c r="C244" s="2" t="str">
        <f t="shared" si="8"/>
        <v>30-40</v>
      </c>
      <c r="D244" s="2" t="s">
        <v>231</v>
      </c>
      <c r="E244" s="2" t="s">
        <v>237</v>
      </c>
      <c r="F244" s="2" t="s">
        <v>242</v>
      </c>
      <c r="G244" s="2" t="s">
        <v>244</v>
      </c>
      <c r="H244" s="2">
        <v>27</v>
      </c>
      <c r="I244" t="str">
        <f t="shared" si="9"/>
        <v>20 + Yrs</v>
      </c>
    </row>
    <row r="245" spans="2:9" x14ac:dyDescent="0.3">
      <c r="B245" s="2">
        <v>45</v>
      </c>
      <c r="C245" s="2" t="str">
        <f t="shared" si="8"/>
        <v>40-50</v>
      </c>
      <c r="D245" s="2" t="s">
        <v>231</v>
      </c>
      <c r="E245" s="2" t="s">
        <v>236</v>
      </c>
      <c r="F245" s="2" t="s">
        <v>240</v>
      </c>
      <c r="G245" s="2" t="s">
        <v>246</v>
      </c>
      <c r="H245" s="2">
        <v>28</v>
      </c>
      <c r="I245" s="2" t="str">
        <f t="shared" si="9"/>
        <v>20 + Yrs</v>
      </c>
    </row>
    <row r="246" spans="2:9" hidden="1" x14ac:dyDescent="0.3">
      <c r="B246" s="6">
        <v>59</v>
      </c>
      <c r="C246" s="6" t="str">
        <f t="shared" si="8"/>
        <v>50+</v>
      </c>
      <c r="D246" s="6" t="s">
        <v>232</v>
      </c>
      <c r="E246" s="6" t="s">
        <v>236</v>
      </c>
      <c r="F246" s="6" t="s">
        <v>238</v>
      </c>
      <c r="G246" s="6" t="s">
        <v>245</v>
      </c>
      <c r="H246" s="6">
        <v>15</v>
      </c>
      <c r="I246" t="str">
        <f t="shared" si="9"/>
        <v>11-20 Yrs</v>
      </c>
    </row>
    <row r="247" spans="2:9" hidden="1" x14ac:dyDescent="0.3">
      <c r="B247" s="2">
        <v>51</v>
      </c>
      <c r="C247" s="2" t="str">
        <f t="shared" si="8"/>
        <v>50+</v>
      </c>
      <c r="D247" s="2" t="s">
        <v>231</v>
      </c>
      <c r="E247" s="2" t="s">
        <v>233</v>
      </c>
      <c r="F247" s="2" t="s">
        <v>242</v>
      </c>
      <c r="G247" s="2" t="s">
        <v>244</v>
      </c>
      <c r="H247" s="2">
        <v>3</v>
      </c>
      <c r="I247" t="str">
        <f t="shared" si="9"/>
        <v>0-4 Yrs</v>
      </c>
    </row>
    <row r="248" spans="2:9" x14ac:dyDescent="0.3">
      <c r="B248" s="2">
        <v>45</v>
      </c>
      <c r="C248" s="2" t="str">
        <f t="shared" si="8"/>
        <v>40-50</v>
      </c>
      <c r="D248" s="2" t="s">
        <v>231</v>
      </c>
      <c r="E248" s="2" t="s">
        <v>235</v>
      </c>
      <c r="F248" s="2" t="s">
        <v>239</v>
      </c>
      <c r="G248" s="2" t="s">
        <v>246</v>
      </c>
      <c r="H248" s="2">
        <v>13</v>
      </c>
      <c r="I248" s="2" t="str">
        <f t="shared" si="9"/>
        <v>11-20 Yrs</v>
      </c>
    </row>
    <row r="249" spans="2:9" hidden="1" x14ac:dyDescent="0.3">
      <c r="B249" s="6">
        <v>44</v>
      </c>
      <c r="C249" s="6" t="str">
        <f t="shared" si="8"/>
        <v>40-50</v>
      </c>
      <c r="D249" s="6" t="s">
        <v>231</v>
      </c>
      <c r="E249" s="6" t="s">
        <v>233</v>
      </c>
      <c r="F249" s="6" t="s">
        <v>239</v>
      </c>
      <c r="G249" s="6" t="s">
        <v>244</v>
      </c>
      <c r="H249" s="6">
        <v>28</v>
      </c>
      <c r="I249" t="str">
        <f t="shared" si="9"/>
        <v>20 + Yrs</v>
      </c>
    </row>
    <row r="250" spans="2:9" x14ac:dyDescent="0.3">
      <c r="B250" s="2">
        <v>46</v>
      </c>
      <c r="C250" s="2" t="str">
        <f t="shared" si="8"/>
        <v>40-50</v>
      </c>
      <c r="D250" s="2" t="s">
        <v>232</v>
      </c>
      <c r="E250" s="2" t="s">
        <v>235</v>
      </c>
      <c r="F250" s="2" t="s">
        <v>240</v>
      </c>
      <c r="G250" s="2" t="s">
        <v>246</v>
      </c>
      <c r="H250" s="2">
        <v>7</v>
      </c>
      <c r="I250" s="2" t="str">
        <f t="shared" si="9"/>
        <v>5-10 Yrs</v>
      </c>
    </row>
    <row r="251" spans="2:9" hidden="1" x14ac:dyDescent="0.3">
      <c r="B251" s="6">
        <v>49</v>
      </c>
      <c r="C251" s="6" t="str">
        <f t="shared" si="8"/>
        <v>40-50</v>
      </c>
      <c r="D251" s="6" t="s">
        <v>232</v>
      </c>
      <c r="E251" s="6" t="s">
        <v>233</v>
      </c>
      <c r="F251" s="6" t="s">
        <v>241</v>
      </c>
      <c r="G251" s="6" t="s">
        <v>245</v>
      </c>
      <c r="H251" s="6">
        <v>23</v>
      </c>
      <c r="I251" t="str">
        <f t="shared" si="9"/>
        <v>20 + Yrs</v>
      </c>
    </row>
    <row r="252" spans="2:9" x14ac:dyDescent="0.3">
      <c r="B252" s="2">
        <v>46</v>
      </c>
      <c r="C252" s="2" t="str">
        <f t="shared" si="8"/>
        <v>40-50</v>
      </c>
      <c r="D252" s="2" t="s">
        <v>232</v>
      </c>
      <c r="E252" s="2" t="s">
        <v>234</v>
      </c>
      <c r="F252" s="2" t="s">
        <v>242</v>
      </c>
      <c r="G252" s="2" t="s">
        <v>246</v>
      </c>
      <c r="H252" s="2">
        <v>27</v>
      </c>
      <c r="I252" s="2" t="str">
        <f t="shared" si="9"/>
        <v>20 + Yrs</v>
      </c>
    </row>
    <row r="253" spans="2:9" hidden="1" x14ac:dyDescent="0.3">
      <c r="B253" s="6">
        <v>30</v>
      </c>
      <c r="C253" s="6" t="str">
        <f t="shared" si="8"/>
        <v>30-40</v>
      </c>
      <c r="D253" s="6" t="s">
        <v>231</v>
      </c>
      <c r="E253" s="6" t="s">
        <v>233</v>
      </c>
      <c r="F253" s="6" t="s">
        <v>242</v>
      </c>
      <c r="G253" s="6" t="s">
        <v>245</v>
      </c>
      <c r="H253" s="6">
        <v>22</v>
      </c>
      <c r="I253" t="str">
        <f t="shared" si="9"/>
        <v>20 + Yrs</v>
      </c>
    </row>
    <row r="254" spans="2:9" x14ac:dyDescent="0.3">
      <c r="B254" s="2">
        <v>46</v>
      </c>
      <c r="C254" s="2" t="str">
        <f t="shared" si="8"/>
        <v>40-50</v>
      </c>
      <c r="D254" s="2" t="s">
        <v>231</v>
      </c>
      <c r="E254" s="2" t="s">
        <v>234</v>
      </c>
      <c r="F254" s="2" t="s">
        <v>240</v>
      </c>
      <c r="G254" s="2" t="s">
        <v>246</v>
      </c>
      <c r="H254" s="2">
        <v>11</v>
      </c>
      <c r="I254" s="2" t="str">
        <f t="shared" si="9"/>
        <v>11-20 Yrs</v>
      </c>
    </row>
    <row r="255" spans="2:9" x14ac:dyDescent="0.3">
      <c r="B255" s="2">
        <v>46</v>
      </c>
      <c r="C255" s="2" t="str">
        <f t="shared" si="8"/>
        <v>40-50</v>
      </c>
      <c r="D255" s="2" t="s">
        <v>231</v>
      </c>
      <c r="E255" s="2" t="s">
        <v>234</v>
      </c>
      <c r="F255" s="2" t="s">
        <v>243</v>
      </c>
      <c r="G255" s="2" t="s">
        <v>246</v>
      </c>
      <c r="H255" s="2">
        <v>20</v>
      </c>
      <c r="I255" s="2" t="str">
        <f t="shared" si="9"/>
        <v>11-20 Yrs</v>
      </c>
    </row>
    <row r="256" spans="2:9" hidden="1" x14ac:dyDescent="0.3">
      <c r="B256" s="6">
        <v>33</v>
      </c>
      <c r="C256" s="6" t="str">
        <f t="shared" si="8"/>
        <v>30-40</v>
      </c>
      <c r="D256" s="6" t="s">
        <v>231</v>
      </c>
      <c r="E256" s="6" t="s">
        <v>236</v>
      </c>
      <c r="F256" s="6" t="s">
        <v>243</v>
      </c>
      <c r="G256" s="6" t="s">
        <v>244</v>
      </c>
      <c r="H256" s="6">
        <v>25</v>
      </c>
      <c r="I256" t="str">
        <f t="shared" si="9"/>
        <v>20 + Yrs</v>
      </c>
    </row>
    <row r="257" spans="2:9" x14ac:dyDescent="0.3">
      <c r="B257" s="2">
        <v>47</v>
      </c>
      <c r="C257" s="2" t="str">
        <f t="shared" si="8"/>
        <v>40-50</v>
      </c>
      <c r="D257" s="2" t="s">
        <v>231</v>
      </c>
      <c r="E257" s="2" t="s">
        <v>233</v>
      </c>
      <c r="F257" s="2" t="s">
        <v>238</v>
      </c>
      <c r="G257" s="2" t="s">
        <v>246</v>
      </c>
      <c r="H257" s="2">
        <v>8</v>
      </c>
      <c r="I257" s="2" t="str">
        <f t="shared" si="9"/>
        <v>5-10 Yrs</v>
      </c>
    </row>
    <row r="258" spans="2:9" hidden="1" x14ac:dyDescent="0.3">
      <c r="B258" s="6">
        <v>42</v>
      </c>
      <c r="C258" s="6" t="str">
        <f t="shared" si="8"/>
        <v>40-50</v>
      </c>
      <c r="D258" s="6" t="s">
        <v>232</v>
      </c>
      <c r="E258" s="6" t="s">
        <v>235</v>
      </c>
      <c r="F258" s="6" t="s">
        <v>242</v>
      </c>
      <c r="G258" s="6" t="s">
        <v>245</v>
      </c>
      <c r="H258" s="6">
        <v>30</v>
      </c>
      <c r="I258" t="str">
        <f t="shared" si="9"/>
        <v>20 + Yrs</v>
      </c>
    </row>
    <row r="259" spans="2:9" hidden="1" x14ac:dyDescent="0.3">
      <c r="B259" s="2">
        <v>40</v>
      </c>
      <c r="C259" s="2" t="str">
        <f t="shared" si="8"/>
        <v>30-40</v>
      </c>
      <c r="D259" s="2" t="s">
        <v>232</v>
      </c>
      <c r="E259" s="2" t="s">
        <v>235</v>
      </c>
      <c r="F259" s="2" t="s">
        <v>243</v>
      </c>
      <c r="G259" s="2" t="s">
        <v>244</v>
      </c>
      <c r="H259" s="2">
        <v>23</v>
      </c>
      <c r="I259" t="str">
        <f t="shared" si="9"/>
        <v>20 + Yrs</v>
      </c>
    </row>
    <row r="260" spans="2:9" hidden="1" x14ac:dyDescent="0.3">
      <c r="B260" s="2">
        <v>29</v>
      </c>
      <c r="C260" s="2" t="str">
        <f t="shared" si="8"/>
        <v>&lt;30</v>
      </c>
      <c r="D260" s="2" t="s">
        <v>231</v>
      </c>
      <c r="E260" s="2" t="s">
        <v>237</v>
      </c>
      <c r="F260" s="2" t="s">
        <v>243</v>
      </c>
      <c r="G260" s="2" t="s">
        <v>245</v>
      </c>
      <c r="H260" s="2">
        <v>27</v>
      </c>
      <c r="I260" t="str">
        <f t="shared" si="9"/>
        <v>20 + Yrs</v>
      </c>
    </row>
    <row r="261" spans="2:9" x14ac:dyDescent="0.3">
      <c r="B261" s="2">
        <v>47</v>
      </c>
      <c r="C261" s="2" t="str">
        <f t="shared" ref="C261:C324" si="10">IF(B261&lt;30,"&lt;30",IF(B261&lt;=40,"30-40",IF(B261&lt;=50,"40-50",IF(B261&gt;50,"50+","Unknown"))))</f>
        <v>40-50</v>
      </c>
      <c r="D261" s="2" t="s">
        <v>232</v>
      </c>
      <c r="E261" s="2" t="s">
        <v>237</v>
      </c>
      <c r="F261" s="2" t="s">
        <v>238</v>
      </c>
      <c r="G261" s="2" t="s">
        <v>246</v>
      </c>
      <c r="H261" s="2">
        <v>20</v>
      </c>
      <c r="I261" s="2" t="str">
        <f t="shared" ref="I261:I324" si="11">IF(H261&lt;=4,"0-4 Yrs",IF(H261&lt;=10,"5-10 Yrs",IF(H261&lt;=20,"11-20 Yrs",IF(H261&gt;20,"20 + Yrs","Unknown"))))</f>
        <v>11-20 Yrs</v>
      </c>
    </row>
    <row r="262" spans="2:9" hidden="1" x14ac:dyDescent="0.3">
      <c r="B262" s="6">
        <v>27</v>
      </c>
      <c r="C262" s="6" t="str">
        <f t="shared" si="10"/>
        <v>&lt;30</v>
      </c>
      <c r="D262" s="6" t="s">
        <v>231</v>
      </c>
      <c r="E262" s="6" t="s">
        <v>234</v>
      </c>
      <c r="F262" s="6" t="s">
        <v>242</v>
      </c>
      <c r="G262" s="6" t="s">
        <v>245</v>
      </c>
      <c r="H262" s="6">
        <v>7</v>
      </c>
      <c r="I262" t="str">
        <f t="shared" si="11"/>
        <v>5-10 Yrs</v>
      </c>
    </row>
    <row r="263" spans="2:9" x14ac:dyDescent="0.3">
      <c r="B263" s="2">
        <v>47</v>
      </c>
      <c r="C263" s="2" t="str">
        <f t="shared" si="10"/>
        <v>40-50</v>
      </c>
      <c r="D263" s="2" t="s">
        <v>231</v>
      </c>
      <c r="E263" s="2" t="s">
        <v>236</v>
      </c>
      <c r="F263" s="2" t="s">
        <v>242</v>
      </c>
      <c r="G263" s="2" t="s">
        <v>246</v>
      </c>
      <c r="H263" s="2">
        <v>4</v>
      </c>
      <c r="I263" s="2" t="str">
        <f t="shared" si="11"/>
        <v>0-4 Yrs</v>
      </c>
    </row>
    <row r="264" spans="2:9" x14ac:dyDescent="0.3">
      <c r="B264" s="2">
        <v>47</v>
      </c>
      <c r="C264" s="2" t="str">
        <f t="shared" si="10"/>
        <v>40-50</v>
      </c>
      <c r="D264" s="2" t="s">
        <v>231</v>
      </c>
      <c r="E264" s="2" t="s">
        <v>237</v>
      </c>
      <c r="F264" s="2" t="s">
        <v>242</v>
      </c>
      <c r="G264" s="2" t="s">
        <v>246</v>
      </c>
      <c r="H264" s="2">
        <v>14</v>
      </c>
      <c r="I264" s="2" t="str">
        <f t="shared" si="11"/>
        <v>11-20 Yrs</v>
      </c>
    </row>
    <row r="265" spans="2:9" x14ac:dyDescent="0.3">
      <c r="B265" s="2">
        <v>47</v>
      </c>
      <c r="C265" s="2" t="str">
        <f t="shared" si="10"/>
        <v>40-50</v>
      </c>
      <c r="D265" s="2" t="s">
        <v>232</v>
      </c>
      <c r="E265" s="2" t="s">
        <v>237</v>
      </c>
      <c r="F265" s="2" t="s">
        <v>241</v>
      </c>
      <c r="G265" s="2" t="s">
        <v>246</v>
      </c>
      <c r="H265" s="2">
        <v>10</v>
      </c>
      <c r="I265" s="2" t="str">
        <f t="shared" si="11"/>
        <v>5-10 Yrs</v>
      </c>
    </row>
    <row r="266" spans="2:9" hidden="1" x14ac:dyDescent="0.3">
      <c r="B266" s="6">
        <v>44</v>
      </c>
      <c r="C266" s="6" t="str">
        <f t="shared" si="10"/>
        <v>40-50</v>
      </c>
      <c r="D266" s="6" t="s">
        <v>231</v>
      </c>
      <c r="E266" s="6" t="s">
        <v>236</v>
      </c>
      <c r="F266" s="6" t="s">
        <v>240</v>
      </c>
      <c r="G266" s="6" t="s">
        <v>245</v>
      </c>
      <c r="H266" s="6">
        <v>22</v>
      </c>
      <c r="I266" t="str">
        <f t="shared" si="11"/>
        <v>20 + Yrs</v>
      </c>
    </row>
    <row r="267" spans="2:9" x14ac:dyDescent="0.3">
      <c r="B267" s="2">
        <v>48</v>
      </c>
      <c r="C267" s="2" t="str">
        <f t="shared" si="10"/>
        <v>40-50</v>
      </c>
      <c r="D267" s="2" t="s">
        <v>232</v>
      </c>
      <c r="E267" s="2" t="s">
        <v>235</v>
      </c>
      <c r="F267" s="2" t="s">
        <v>242</v>
      </c>
      <c r="G267" s="2" t="s">
        <v>246</v>
      </c>
      <c r="H267" s="2">
        <v>9</v>
      </c>
      <c r="I267" s="2" t="str">
        <f t="shared" si="11"/>
        <v>5-10 Yrs</v>
      </c>
    </row>
    <row r="268" spans="2:9" x14ac:dyDescent="0.3">
      <c r="B268" s="2">
        <v>48</v>
      </c>
      <c r="C268" s="2" t="str">
        <f t="shared" si="10"/>
        <v>40-50</v>
      </c>
      <c r="D268" s="2" t="s">
        <v>232</v>
      </c>
      <c r="E268" s="2" t="s">
        <v>236</v>
      </c>
      <c r="F268" s="2" t="s">
        <v>243</v>
      </c>
      <c r="G268" s="2" t="s">
        <v>246</v>
      </c>
      <c r="H268" s="2">
        <v>24</v>
      </c>
      <c r="I268" s="2" t="str">
        <f t="shared" si="11"/>
        <v>20 + Yrs</v>
      </c>
    </row>
    <row r="269" spans="2:9" hidden="1" x14ac:dyDescent="0.3">
      <c r="B269" s="6">
        <v>32</v>
      </c>
      <c r="C269" s="6" t="str">
        <f t="shared" si="10"/>
        <v>30-40</v>
      </c>
      <c r="D269" s="6" t="s">
        <v>231</v>
      </c>
      <c r="E269" s="6" t="s">
        <v>233</v>
      </c>
      <c r="F269" s="6" t="s">
        <v>243</v>
      </c>
      <c r="G269" s="6" t="s">
        <v>245</v>
      </c>
      <c r="H269" s="6">
        <v>26</v>
      </c>
      <c r="I269" t="str">
        <f t="shared" si="11"/>
        <v>20 + Yrs</v>
      </c>
    </row>
    <row r="270" spans="2:9" hidden="1" x14ac:dyDescent="0.3">
      <c r="B270" s="2">
        <v>47</v>
      </c>
      <c r="C270" s="2" t="str">
        <f t="shared" si="10"/>
        <v>40-50</v>
      </c>
      <c r="D270" s="2" t="s">
        <v>232</v>
      </c>
      <c r="E270" s="2" t="s">
        <v>234</v>
      </c>
      <c r="F270" s="2" t="s">
        <v>243</v>
      </c>
      <c r="G270" s="2" t="s">
        <v>245</v>
      </c>
      <c r="H270" s="2">
        <v>16</v>
      </c>
      <c r="I270" t="str">
        <f t="shared" si="11"/>
        <v>11-20 Yrs</v>
      </c>
    </row>
    <row r="271" spans="2:9" x14ac:dyDescent="0.3">
      <c r="B271" s="2">
        <v>48</v>
      </c>
      <c r="C271" s="2" t="str">
        <f t="shared" si="10"/>
        <v>40-50</v>
      </c>
      <c r="D271" s="2" t="s">
        <v>232</v>
      </c>
      <c r="E271" s="2" t="s">
        <v>237</v>
      </c>
      <c r="F271" s="2" t="s">
        <v>242</v>
      </c>
      <c r="G271" s="2" t="s">
        <v>246</v>
      </c>
      <c r="H271" s="2">
        <v>21</v>
      </c>
      <c r="I271" s="2" t="str">
        <f t="shared" si="11"/>
        <v>20 + Yrs</v>
      </c>
    </row>
    <row r="272" spans="2:9" x14ac:dyDescent="0.3">
      <c r="B272" s="2">
        <v>48</v>
      </c>
      <c r="C272" s="2" t="str">
        <f t="shared" si="10"/>
        <v>40-50</v>
      </c>
      <c r="D272" s="2" t="s">
        <v>231</v>
      </c>
      <c r="E272" s="2" t="s">
        <v>235</v>
      </c>
      <c r="F272" s="2" t="s">
        <v>238</v>
      </c>
      <c r="G272" s="2" t="s">
        <v>246</v>
      </c>
      <c r="H272" s="2">
        <v>4</v>
      </c>
      <c r="I272" s="2" t="str">
        <f t="shared" si="11"/>
        <v>0-4 Yrs</v>
      </c>
    </row>
    <row r="273" spans="2:9" hidden="1" x14ac:dyDescent="0.3">
      <c r="B273" s="6">
        <v>42</v>
      </c>
      <c r="C273" s="6" t="str">
        <f t="shared" si="10"/>
        <v>40-50</v>
      </c>
      <c r="D273" s="6" t="s">
        <v>231</v>
      </c>
      <c r="E273" s="6" t="s">
        <v>234</v>
      </c>
      <c r="F273" s="6" t="s">
        <v>240</v>
      </c>
      <c r="G273" s="6" t="s">
        <v>244</v>
      </c>
      <c r="H273" s="6">
        <v>27</v>
      </c>
      <c r="I273" t="str">
        <f t="shared" si="11"/>
        <v>20 + Yrs</v>
      </c>
    </row>
    <row r="274" spans="2:9" hidden="1" x14ac:dyDescent="0.3">
      <c r="B274" s="2">
        <v>40</v>
      </c>
      <c r="C274" s="2" t="str">
        <f t="shared" si="10"/>
        <v>30-40</v>
      </c>
      <c r="D274" s="2" t="s">
        <v>232</v>
      </c>
      <c r="E274" s="2" t="s">
        <v>233</v>
      </c>
      <c r="F274" s="2" t="s">
        <v>239</v>
      </c>
      <c r="G274" s="2" t="s">
        <v>245</v>
      </c>
      <c r="H274" s="2">
        <v>7</v>
      </c>
      <c r="I274" t="str">
        <f t="shared" si="11"/>
        <v>5-10 Yrs</v>
      </c>
    </row>
    <row r="275" spans="2:9" hidden="1" x14ac:dyDescent="0.3">
      <c r="B275" s="2">
        <v>59</v>
      </c>
      <c r="C275" s="2" t="str">
        <f t="shared" si="10"/>
        <v>50+</v>
      </c>
      <c r="D275" s="2" t="s">
        <v>231</v>
      </c>
      <c r="E275" s="2" t="s">
        <v>236</v>
      </c>
      <c r="F275" s="2" t="s">
        <v>238</v>
      </c>
      <c r="G275" s="2" t="s">
        <v>244</v>
      </c>
      <c r="H275" s="2">
        <v>29</v>
      </c>
      <c r="I275" t="str">
        <f t="shared" si="11"/>
        <v>20 + Yrs</v>
      </c>
    </row>
    <row r="276" spans="2:9" hidden="1" x14ac:dyDescent="0.3">
      <c r="B276" s="2">
        <v>35</v>
      </c>
      <c r="C276" s="2" t="str">
        <f t="shared" si="10"/>
        <v>30-40</v>
      </c>
      <c r="D276" s="2" t="s">
        <v>231</v>
      </c>
      <c r="E276" s="2" t="s">
        <v>234</v>
      </c>
      <c r="F276" s="2" t="s">
        <v>238</v>
      </c>
      <c r="G276" s="2" t="s">
        <v>245</v>
      </c>
      <c r="H276" s="2">
        <v>17</v>
      </c>
      <c r="I276" t="str">
        <f t="shared" si="11"/>
        <v>11-20 Yrs</v>
      </c>
    </row>
    <row r="277" spans="2:9" x14ac:dyDescent="0.3">
      <c r="B277" s="2">
        <v>49</v>
      </c>
      <c r="C277" s="2" t="str">
        <f t="shared" si="10"/>
        <v>40-50</v>
      </c>
      <c r="D277" s="2" t="s">
        <v>231</v>
      </c>
      <c r="E277" s="2" t="s">
        <v>233</v>
      </c>
      <c r="F277" s="2" t="s">
        <v>240</v>
      </c>
      <c r="G277" s="2" t="s">
        <v>246</v>
      </c>
      <c r="H277" s="2">
        <v>13</v>
      </c>
      <c r="I277" s="2" t="str">
        <f t="shared" si="11"/>
        <v>11-20 Yrs</v>
      </c>
    </row>
    <row r="278" spans="2:9" hidden="1" x14ac:dyDescent="0.3">
      <c r="B278" s="6">
        <v>27</v>
      </c>
      <c r="C278" s="6" t="str">
        <f t="shared" si="10"/>
        <v>&lt;30</v>
      </c>
      <c r="D278" s="6" t="s">
        <v>232</v>
      </c>
      <c r="E278" s="6" t="s">
        <v>233</v>
      </c>
      <c r="F278" s="6" t="s">
        <v>241</v>
      </c>
      <c r="G278" s="6" t="s">
        <v>245</v>
      </c>
      <c r="H278" s="6">
        <v>21</v>
      </c>
      <c r="I278" t="str">
        <f t="shared" si="11"/>
        <v>20 + Yrs</v>
      </c>
    </row>
    <row r="279" spans="2:9" x14ac:dyDescent="0.3">
      <c r="B279" s="2">
        <v>49</v>
      </c>
      <c r="C279" s="2" t="str">
        <f t="shared" si="10"/>
        <v>40-50</v>
      </c>
      <c r="D279" s="2" t="s">
        <v>231</v>
      </c>
      <c r="E279" s="2" t="s">
        <v>234</v>
      </c>
      <c r="F279" s="2" t="s">
        <v>239</v>
      </c>
      <c r="G279" s="2" t="s">
        <v>246</v>
      </c>
      <c r="H279" s="2">
        <v>11</v>
      </c>
      <c r="I279" s="2" t="str">
        <f t="shared" si="11"/>
        <v>11-20 Yrs</v>
      </c>
    </row>
    <row r="280" spans="2:9" hidden="1" x14ac:dyDescent="0.3">
      <c r="B280" s="6">
        <v>50</v>
      </c>
      <c r="C280" s="6" t="str">
        <f t="shared" si="10"/>
        <v>40-50</v>
      </c>
      <c r="D280" s="6" t="s">
        <v>232</v>
      </c>
      <c r="E280" s="6" t="s">
        <v>233</v>
      </c>
      <c r="F280" s="6" t="s">
        <v>242</v>
      </c>
      <c r="G280" s="6" t="s">
        <v>245</v>
      </c>
      <c r="H280" s="6">
        <v>7</v>
      </c>
      <c r="I280" t="str">
        <f t="shared" si="11"/>
        <v>5-10 Yrs</v>
      </c>
    </row>
    <row r="281" spans="2:9" hidden="1" x14ac:dyDescent="0.3">
      <c r="B281" s="2">
        <v>28</v>
      </c>
      <c r="C281" s="2" t="str">
        <f t="shared" si="10"/>
        <v>&lt;30</v>
      </c>
      <c r="D281" s="2" t="s">
        <v>231</v>
      </c>
      <c r="E281" s="2" t="s">
        <v>236</v>
      </c>
      <c r="F281" s="2" t="s">
        <v>243</v>
      </c>
      <c r="G281" s="2" t="s">
        <v>244</v>
      </c>
      <c r="H281" s="2">
        <v>16</v>
      </c>
      <c r="I281" t="str">
        <f t="shared" si="11"/>
        <v>11-20 Yrs</v>
      </c>
    </row>
    <row r="282" spans="2:9" hidden="1" x14ac:dyDescent="0.3">
      <c r="B282" s="2">
        <v>51</v>
      </c>
      <c r="C282" s="2" t="str">
        <f t="shared" si="10"/>
        <v>50+</v>
      </c>
      <c r="D282" s="2" t="s">
        <v>231</v>
      </c>
      <c r="E282" s="2" t="s">
        <v>234</v>
      </c>
      <c r="F282" s="2" t="s">
        <v>243</v>
      </c>
      <c r="G282" s="2" t="s">
        <v>244</v>
      </c>
      <c r="H282" s="2">
        <v>5</v>
      </c>
      <c r="I282" t="str">
        <f t="shared" si="11"/>
        <v>5-10 Yrs</v>
      </c>
    </row>
    <row r="283" spans="2:9" hidden="1" x14ac:dyDescent="0.3">
      <c r="B283" s="2">
        <v>56</v>
      </c>
      <c r="C283" s="2" t="str">
        <f t="shared" si="10"/>
        <v>50+</v>
      </c>
      <c r="D283" s="2" t="s">
        <v>231</v>
      </c>
      <c r="E283" s="2" t="s">
        <v>234</v>
      </c>
      <c r="F283" s="2" t="s">
        <v>240</v>
      </c>
      <c r="G283" s="2" t="s">
        <v>244</v>
      </c>
      <c r="H283" s="2">
        <v>5</v>
      </c>
      <c r="I283" t="str">
        <f t="shared" si="11"/>
        <v>5-10 Yrs</v>
      </c>
    </row>
    <row r="284" spans="2:9" hidden="1" x14ac:dyDescent="0.3">
      <c r="B284" s="2">
        <v>54</v>
      </c>
      <c r="C284" s="2" t="str">
        <f t="shared" si="10"/>
        <v>50+</v>
      </c>
      <c r="D284" s="2" t="s">
        <v>231</v>
      </c>
      <c r="E284" s="2" t="s">
        <v>235</v>
      </c>
      <c r="F284" s="2" t="s">
        <v>243</v>
      </c>
      <c r="G284" s="2" t="s">
        <v>245</v>
      </c>
      <c r="H284" s="2">
        <v>25</v>
      </c>
      <c r="I284" t="str">
        <f t="shared" si="11"/>
        <v>20 + Yrs</v>
      </c>
    </row>
    <row r="285" spans="2:9" hidden="1" x14ac:dyDescent="0.3">
      <c r="B285" s="2">
        <v>53</v>
      </c>
      <c r="C285" s="2" t="str">
        <f t="shared" si="10"/>
        <v>50+</v>
      </c>
      <c r="D285" s="2" t="s">
        <v>231</v>
      </c>
      <c r="E285" s="2" t="s">
        <v>236</v>
      </c>
      <c r="F285" s="2" t="s">
        <v>239</v>
      </c>
      <c r="G285" s="2" t="s">
        <v>244</v>
      </c>
      <c r="H285" s="2">
        <v>13</v>
      </c>
      <c r="I285" t="str">
        <f t="shared" si="11"/>
        <v>11-20 Yrs</v>
      </c>
    </row>
    <row r="286" spans="2:9" x14ac:dyDescent="0.3">
      <c r="B286" s="2">
        <v>50</v>
      </c>
      <c r="C286" s="2" t="str">
        <f t="shared" si="10"/>
        <v>40-50</v>
      </c>
      <c r="D286" s="2" t="s">
        <v>231</v>
      </c>
      <c r="E286" s="2" t="s">
        <v>237</v>
      </c>
      <c r="F286" s="2" t="s">
        <v>241</v>
      </c>
      <c r="G286" s="2" t="s">
        <v>246</v>
      </c>
      <c r="H286" s="2">
        <v>22</v>
      </c>
      <c r="I286" s="2" t="str">
        <f t="shared" si="11"/>
        <v>20 + Yrs</v>
      </c>
    </row>
    <row r="287" spans="2:9" hidden="1" x14ac:dyDescent="0.3">
      <c r="B287" s="6">
        <v>53</v>
      </c>
      <c r="C287" s="6" t="str">
        <f t="shared" si="10"/>
        <v>50+</v>
      </c>
      <c r="D287" s="6" t="s">
        <v>231</v>
      </c>
      <c r="E287" s="6" t="s">
        <v>234</v>
      </c>
      <c r="F287" s="6" t="s">
        <v>239</v>
      </c>
      <c r="G287" s="6" t="s">
        <v>244</v>
      </c>
      <c r="H287" s="6">
        <v>25</v>
      </c>
      <c r="I287" t="str">
        <f t="shared" si="11"/>
        <v>20 + Yrs</v>
      </c>
    </row>
    <row r="288" spans="2:9" hidden="1" x14ac:dyDescent="0.3">
      <c r="B288" s="2">
        <v>33</v>
      </c>
      <c r="C288" s="2" t="str">
        <f t="shared" si="10"/>
        <v>30-40</v>
      </c>
      <c r="D288" s="2" t="s">
        <v>232</v>
      </c>
      <c r="E288" s="2" t="s">
        <v>237</v>
      </c>
      <c r="F288" s="2" t="s">
        <v>243</v>
      </c>
      <c r="G288" s="2" t="s">
        <v>245</v>
      </c>
      <c r="H288" s="2">
        <v>22</v>
      </c>
      <c r="I288" t="str">
        <f t="shared" si="11"/>
        <v>20 + Yrs</v>
      </c>
    </row>
    <row r="289" spans="2:9" x14ac:dyDescent="0.3">
      <c r="B289" s="2">
        <v>50</v>
      </c>
      <c r="C289" s="2" t="str">
        <f t="shared" si="10"/>
        <v>40-50</v>
      </c>
      <c r="D289" s="2" t="s">
        <v>231</v>
      </c>
      <c r="E289" s="2" t="s">
        <v>236</v>
      </c>
      <c r="F289" s="2" t="s">
        <v>239</v>
      </c>
      <c r="G289" s="2" t="s">
        <v>246</v>
      </c>
      <c r="H289" s="2">
        <v>19</v>
      </c>
      <c r="I289" s="2" t="str">
        <f t="shared" si="11"/>
        <v>11-20 Yrs</v>
      </c>
    </row>
    <row r="290" spans="2:9" hidden="1" x14ac:dyDescent="0.3">
      <c r="B290" s="6">
        <v>37</v>
      </c>
      <c r="C290" s="6" t="str">
        <f t="shared" si="10"/>
        <v>30-40</v>
      </c>
      <c r="D290" s="6" t="s">
        <v>232</v>
      </c>
      <c r="E290" s="6" t="s">
        <v>237</v>
      </c>
      <c r="F290" s="6" t="s">
        <v>243</v>
      </c>
      <c r="G290" s="6" t="s">
        <v>244</v>
      </c>
      <c r="H290" s="6">
        <v>19</v>
      </c>
      <c r="I290" t="str">
        <f t="shared" si="11"/>
        <v>11-20 Yrs</v>
      </c>
    </row>
    <row r="291" spans="2:9" hidden="1" x14ac:dyDescent="0.3">
      <c r="B291" s="2">
        <v>45</v>
      </c>
      <c r="C291" s="2" t="str">
        <f t="shared" si="10"/>
        <v>40-50</v>
      </c>
      <c r="D291" s="2" t="s">
        <v>231</v>
      </c>
      <c r="E291" s="2" t="s">
        <v>235</v>
      </c>
      <c r="F291" s="2" t="s">
        <v>243</v>
      </c>
      <c r="G291" s="2" t="s">
        <v>244</v>
      </c>
      <c r="H291" s="2">
        <v>19</v>
      </c>
      <c r="I291" t="str">
        <f t="shared" si="11"/>
        <v>11-20 Yrs</v>
      </c>
    </row>
    <row r="292" spans="2:9" hidden="1" x14ac:dyDescent="0.3">
      <c r="B292" s="2">
        <v>58</v>
      </c>
      <c r="C292" s="2" t="str">
        <f t="shared" si="10"/>
        <v>50+</v>
      </c>
      <c r="D292" s="2" t="s">
        <v>232</v>
      </c>
      <c r="E292" s="2" t="s">
        <v>237</v>
      </c>
      <c r="F292" s="2" t="s">
        <v>242</v>
      </c>
      <c r="G292" s="2" t="s">
        <v>244</v>
      </c>
      <c r="H292" s="2">
        <v>20</v>
      </c>
      <c r="I292" t="str">
        <f t="shared" si="11"/>
        <v>11-20 Yrs</v>
      </c>
    </row>
    <row r="293" spans="2:9" x14ac:dyDescent="0.3">
      <c r="B293" s="2">
        <v>50</v>
      </c>
      <c r="C293" s="2" t="str">
        <f t="shared" si="10"/>
        <v>40-50</v>
      </c>
      <c r="D293" s="2" t="s">
        <v>231</v>
      </c>
      <c r="E293" s="2" t="s">
        <v>234</v>
      </c>
      <c r="F293" s="2" t="s">
        <v>242</v>
      </c>
      <c r="G293" s="2" t="s">
        <v>246</v>
      </c>
      <c r="H293" s="2">
        <v>20</v>
      </c>
      <c r="I293" s="2" t="str">
        <f t="shared" si="11"/>
        <v>11-20 Yrs</v>
      </c>
    </row>
    <row r="294" spans="2:9" x14ac:dyDescent="0.3">
      <c r="B294" s="2">
        <v>50</v>
      </c>
      <c r="C294" s="2" t="str">
        <f t="shared" si="10"/>
        <v>40-50</v>
      </c>
      <c r="D294" s="2" t="s">
        <v>231</v>
      </c>
      <c r="E294" s="2" t="s">
        <v>235</v>
      </c>
      <c r="F294" s="2" t="s">
        <v>241</v>
      </c>
      <c r="G294" s="2" t="s">
        <v>246</v>
      </c>
      <c r="H294" s="2">
        <v>14</v>
      </c>
      <c r="I294" s="2" t="str">
        <f t="shared" si="11"/>
        <v>11-20 Yrs</v>
      </c>
    </row>
    <row r="295" spans="2:9" hidden="1" x14ac:dyDescent="0.3">
      <c r="B295" s="6">
        <v>37</v>
      </c>
      <c r="C295" s="6" t="str">
        <f t="shared" si="10"/>
        <v>30-40</v>
      </c>
      <c r="D295" s="6" t="s">
        <v>231</v>
      </c>
      <c r="E295" s="6" t="s">
        <v>236</v>
      </c>
      <c r="F295" s="6" t="s">
        <v>240</v>
      </c>
      <c r="G295" s="6" t="s">
        <v>245</v>
      </c>
      <c r="H295" s="6">
        <v>6</v>
      </c>
      <c r="I295" t="str">
        <f t="shared" si="11"/>
        <v>5-10 Yrs</v>
      </c>
    </row>
    <row r="296" spans="2:9" hidden="1" x14ac:dyDescent="0.3">
      <c r="B296" s="2">
        <v>55</v>
      </c>
      <c r="C296" s="2" t="str">
        <f t="shared" si="10"/>
        <v>50+</v>
      </c>
      <c r="D296" s="2" t="s">
        <v>231</v>
      </c>
      <c r="E296" s="2" t="s">
        <v>233</v>
      </c>
      <c r="F296" s="2" t="s">
        <v>242</v>
      </c>
      <c r="G296" s="2" t="s">
        <v>245</v>
      </c>
      <c r="H296" s="2">
        <v>4</v>
      </c>
      <c r="I296" t="str">
        <f t="shared" si="11"/>
        <v>0-4 Yrs</v>
      </c>
    </row>
    <row r="297" spans="2:9" x14ac:dyDescent="0.3">
      <c r="B297" s="2">
        <v>51</v>
      </c>
      <c r="C297" s="2" t="str">
        <f t="shared" si="10"/>
        <v>50+</v>
      </c>
      <c r="D297" s="2" t="s">
        <v>231</v>
      </c>
      <c r="E297" s="2" t="s">
        <v>234</v>
      </c>
      <c r="F297" s="2" t="s">
        <v>243</v>
      </c>
      <c r="G297" s="2" t="s">
        <v>246</v>
      </c>
      <c r="H297" s="2">
        <v>27</v>
      </c>
      <c r="I297" s="2" t="str">
        <f t="shared" si="11"/>
        <v>20 + Yrs</v>
      </c>
    </row>
    <row r="298" spans="2:9" x14ac:dyDescent="0.3">
      <c r="B298" s="2">
        <v>51</v>
      </c>
      <c r="C298" s="2" t="str">
        <f t="shared" si="10"/>
        <v>50+</v>
      </c>
      <c r="D298" s="2" t="s">
        <v>232</v>
      </c>
      <c r="E298" s="2" t="s">
        <v>236</v>
      </c>
      <c r="F298" s="2" t="s">
        <v>241</v>
      </c>
      <c r="G298" s="2" t="s">
        <v>246</v>
      </c>
      <c r="H298" s="2">
        <v>20</v>
      </c>
      <c r="I298" s="2" t="str">
        <f t="shared" si="11"/>
        <v>11-20 Yrs</v>
      </c>
    </row>
    <row r="299" spans="2:9" hidden="1" x14ac:dyDescent="0.3">
      <c r="B299" s="6">
        <v>41</v>
      </c>
      <c r="C299" s="6" t="str">
        <f t="shared" si="10"/>
        <v>40-50</v>
      </c>
      <c r="D299" s="6" t="s">
        <v>231</v>
      </c>
      <c r="E299" s="6" t="s">
        <v>236</v>
      </c>
      <c r="F299" s="6" t="s">
        <v>239</v>
      </c>
      <c r="G299" s="6" t="s">
        <v>245</v>
      </c>
      <c r="H299" s="6">
        <v>16</v>
      </c>
      <c r="I299" t="str">
        <f t="shared" si="11"/>
        <v>11-20 Yrs</v>
      </c>
    </row>
    <row r="300" spans="2:9" x14ac:dyDescent="0.3">
      <c r="B300" s="2">
        <v>51</v>
      </c>
      <c r="C300" s="2" t="str">
        <f t="shared" si="10"/>
        <v>50+</v>
      </c>
      <c r="D300" s="2" t="s">
        <v>231</v>
      </c>
      <c r="E300" s="2" t="s">
        <v>236</v>
      </c>
      <c r="F300" s="2" t="s">
        <v>239</v>
      </c>
      <c r="G300" s="2" t="s">
        <v>246</v>
      </c>
      <c r="H300" s="2">
        <v>15</v>
      </c>
      <c r="I300" s="2" t="str">
        <f t="shared" si="11"/>
        <v>11-20 Yrs</v>
      </c>
    </row>
    <row r="301" spans="2:9" hidden="1" x14ac:dyDescent="0.3">
      <c r="B301" s="6">
        <v>58</v>
      </c>
      <c r="C301" s="6" t="str">
        <f t="shared" si="10"/>
        <v>50+</v>
      </c>
      <c r="D301" s="6" t="s">
        <v>232</v>
      </c>
      <c r="E301" s="6" t="s">
        <v>233</v>
      </c>
      <c r="F301" s="6" t="s">
        <v>239</v>
      </c>
      <c r="G301" s="6" t="s">
        <v>244</v>
      </c>
      <c r="H301" s="6">
        <v>9</v>
      </c>
      <c r="I301" t="str">
        <f t="shared" si="11"/>
        <v>5-10 Yrs</v>
      </c>
    </row>
    <row r="302" spans="2:9" hidden="1" x14ac:dyDescent="0.3">
      <c r="B302" s="2">
        <v>51</v>
      </c>
      <c r="C302" s="2" t="str">
        <f t="shared" si="10"/>
        <v>50+</v>
      </c>
      <c r="D302" s="2" t="s">
        <v>232</v>
      </c>
      <c r="E302" s="2" t="s">
        <v>237</v>
      </c>
      <c r="F302" s="2" t="s">
        <v>238</v>
      </c>
      <c r="G302" s="2" t="s">
        <v>244</v>
      </c>
      <c r="H302" s="2">
        <v>9</v>
      </c>
      <c r="I302" t="str">
        <f t="shared" si="11"/>
        <v>5-10 Yrs</v>
      </c>
    </row>
    <row r="303" spans="2:9" hidden="1" x14ac:dyDescent="0.3">
      <c r="B303" s="2">
        <v>43</v>
      </c>
      <c r="C303" s="2" t="str">
        <f t="shared" si="10"/>
        <v>40-50</v>
      </c>
      <c r="D303" s="2" t="s">
        <v>231</v>
      </c>
      <c r="E303" s="2" t="s">
        <v>237</v>
      </c>
      <c r="F303" s="2" t="s">
        <v>242</v>
      </c>
      <c r="G303" s="2" t="s">
        <v>245</v>
      </c>
      <c r="H303" s="2">
        <v>2</v>
      </c>
      <c r="I303" t="str">
        <f t="shared" si="11"/>
        <v>0-4 Yrs</v>
      </c>
    </row>
    <row r="304" spans="2:9" hidden="1" x14ac:dyDescent="0.3">
      <c r="B304" s="2">
        <v>43</v>
      </c>
      <c r="C304" s="2" t="str">
        <f t="shared" si="10"/>
        <v>40-50</v>
      </c>
      <c r="D304" s="2" t="s">
        <v>232</v>
      </c>
      <c r="E304" s="2" t="s">
        <v>236</v>
      </c>
      <c r="F304" s="2" t="s">
        <v>239</v>
      </c>
      <c r="G304" s="2" t="s">
        <v>245</v>
      </c>
      <c r="H304" s="2">
        <v>20</v>
      </c>
      <c r="I304" t="str">
        <f t="shared" si="11"/>
        <v>11-20 Yrs</v>
      </c>
    </row>
    <row r="305" spans="2:9" hidden="1" x14ac:dyDescent="0.3">
      <c r="B305" s="2">
        <v>41</v>
      </c>
      <c r="C305" s="2" t="str">
        <f t="shared" si="10"/>
        <v>40-50</v>
      </c>
      <c r="D305" s="2" t="s">
        <v>232</v>
      </c>
      <c r="E305" s="2" t="s">
        <v>233</v>
      </c>
      <c r="F305" s="2" t="s">
        <v>239</v>
      </c>
      <c r="G305" s="2" t="s">
        <v>244</v>
      </c>
      <c r="H305" s="2">
        <v>17</v>
      </c>
      <c r="I305" t="str">
        <f t="shared" si="11"/>
        <v>11-20 Yrs</v>
      </c>
    </row>
    <row r="306" spans="2:9" hidden="1" x14ac:dyDescent="0.3">
      <c r="B306" s="2">
        <v>30</v>
      </c>
      <c r="C306" s="2" t="str">
        <f t="shared" si="10"/>
        <v>30-40</v>
      </c>
      <c r="D306" s="2" t="s">
        <v>232</v>
      </c>
      <c r="E306" s="2" t="s">
        <v>233</v>
      </c>
      <c r="F306" s="2" t="s">
        <v>239</v>
      </c>
      <c r="G306" s="2" t="s">
        <v>244</v>
      </c>
      <c r="H306" s="2">
        <v>13</v>
      </c>
      <c r="I306" t="str">
        <f t="shared" si="11"/>
        <v>11-20 Yrs</v>
      </c>
    </row>
    <row r="307" spans="2:9" hidden="1" x14ac:dyDescent="0.3">
      <c r="B307" s="2">
        <v>33</v>
      </c>
      <c r="C307" s="2" t="str">
        <f t="shared" si="10"/>
        <v>30-40</v>
      </c>
      <c r="D307" s="2" t="s">
        <v>231</v>
      </c>
      <c r="E307" s="2" t="s">
        <v>236</v>
      </c>
      <c r="F307" s="2" t="s">
        <v>241</v>
      </c>
      <c r="G307" s="2" t="s">
        <v>245</v>
      </c>
      <c r="H307" s="2">
        <v>19</v>
      </c>
      <c r="I307" t="str">
        <f t="shared" si="11"/>
        <v>11-20 Yrs</v>
      </c>
    </row>
    <row r="308" spans="2:9" x14ac:dyDescent="0.3">
      <c r="B308" s="2">
        <v>52</v>
      </c>
      <c r="C308" s="2" t="str">
        <f t="shared" si="10"/>
        <v>50+</v>
      </c>
      <c r="D308" s="2" t="s">
        <v>231</v>
      </c>
      <c r="E308" s="2" t="s">
        <v>233</v>
      </c>
      <c r="F308" s="2" t="s">
        <v>243</v>
      </c>
      <c r="G308" s="2" t="s">
        <v>246</v>
      </c>
      <c r="H308" s="2">
        <v>23</v>
      </c>
      <c r="I308" s="2" t="str">
        <f t="shared" si="11"/>
        <v>20 + Yrs</v>
      </c>
    </row>
    <row r="309" spans="2:9" hidden="1" x14ac:dyDescent="0.3">
      <c r="B309" s="6">
        <v>35</v>
      </c>
      <c r="C309" s="6" t="str">
        <f t="shared" si="10"/>
        <v>30-40</v>
      </c>
      <c r="D309" s="6" t="s">
        <v>231</v>
      </c>
      <c r="E309" s="6" t="s">
        <v>235</v>
      </c>
      <c r="F309" s="6" t="s">
        <v>238</v>
      </c>
      <c r="G309" s="6" t="s">
        <v>245</v>
      </c>
      <c r="H309" s="6">
        <v>3</v>
      </c>
      <c r="I309" t="str">
        <f t="shared" si="11"/>
        <v>0-4 Yrs</v>
      </c>
    </row>
    <row r="310" spans="2:9" hidden="1" x14ac:dyDescent="0.3">
      <c r="B310" s="2">
        <v>40</v>
      </c>
      <c r="C310" s="2" t="str">
        <f t="shared" si="10"/>
        <v>30-40</v>
      </c>
      <c r="D310" s="2" t="s">
        <v>231</v>
      </c>
      <c r="E310" s="2" t="s">
        <v>235</v>
      </c>
      <c r="F310" s="2" t="s">
        <v>240</v>
      </c>
      <c r="G310" s="2" t="s">
        <v>245</v>
      </c>
      <c r="H310" s="2">
        <v>22</v>
      </c>
      <c r="I310" t="str">
        <f t="shared" si="11"/>
        <v>20 + Yrs</v>
      </c>
    </row>
    <row r="311" spans="2:9" hidden="1" x14ac:dyDescent="0.3">
      <c r="B311" s="2">
        <v>58</v>
      </c>
      <c r="C311" s="2" t="str">
        <f t="shared" si="10"/>
        <v>50+</v>
      </c>
      <c r="D311" s="2" t="s">
        <v>231</v>
      </c>
      <c r="E311" s="2" t="s">
        <v>233</v>
      </c>
      <c r="F311" s="2" t="s">
        <v>239</v>
      </c>
      <c r="G311" s="2" t="s">
        <v>244</v>
      </c>
      <c r="H311" s="2">
        <v>1</v>
      </c>
      <c r="I311" t="str">
        <f t="shared" si="11"/>
        <v>0-4 Yrs</v>
      </c>
    </row>
    <row r="312" spans="2:9" x14ac:dyDescent="0.3">
      <c r="B312" s="2">
        <v>52</v>
      </c>
      <c r="C312" s="2" t="str">
        <f t="shared" si="10"/>
        <v>50+</v>
      </c>
      <c r="D312" s="2" t="s">
        <v>232</v>
      </c>
      <c r="E312" s="2" t="s">
        <v>234</v>
      </c>
      <c r="F312" s="2" t="s">
        <v>243</v>
      </c>
      <c r="G312" s="2" t="s">
        <v>246</v>
      </c>
      <c r="H312" s="2">
        <v>25</v>
      </c>
      <c r="I312" s="2" t="str">
        <f t="shared" si="11"/>
        <v>20 + Yrs</v>
      </c>
    </row>
    <row r="313" spans="2:9" x14ac:dyDescent="0.3">
      <c r="B313" s="2">
        <v>52</v>
      </c>
      <c r="C313" s="2" t="str">
        <f t="shared" si="10"/>
        <v>50+</v>
      </c>
      <c r="D313" s="2" t="s">
        <v>231</v>
      </c>
      <c r="E313" s="2" t="s">
        <v>235</v>
      </c>
      <c r="F313" s="2" t="s">
        <v>240</v>
      </c>
      <c r="G313" s="2" t="s">
        <v>246</v>
      </c>
      <c r="H313" s="2">
        <v>8</v>
      </c>
      <c r="I313" s="2" t="str">
        <f t="shared" si="11"/>
        <v>5-10 Yrs</v>
      </c>
    </row>
    <row r="314" spans="2:9" x14ac:dyDescent="0.3">
      <c r="B314" s="2">
        <v>52</v>
      </c>
      <c r="C314" s="2" t="str">
        <f t="shared" si="10"/>
        <v>50+</v>
      </c>
      <c r="D314" s="2" t="s">
        <v>232</v>
      </c>
      <c r="E314" s="2" t="s">
        <v>233</v>
      </c>
      <c r="F314" s="2" t="s">
        <v>241</v>
      </c>
      <c r="G314" s="2" t="s">
        <v>246</v>
      </c>
      <c r="H314" s="2">
        <v>26</v>
      </c>
      <c r="I314" s="2" t="str">
        <f t="shared" si="11"/>
        <v>20 + Yrs</v>
      </c>
    </row>
    <row r="315" spans="2:9" x14ac:dyDescent="0.3">
      <c r="B315" s="2">
        <v>52</v>
      </c>
      <c r="C315" s="2" t="str">
        <f t="shared" si="10"/>
        <v>50+</v>
      </c>
      <c r="D315" s="2" t="s">
        <v>231</v>
      </c>
      <c r="E315" s="2" t="s">
        <v>234</v>
      </c>
      <c r="F315" s="2" t="s">
        <v>238</v>
      </c>
      <c r="G315" s="2" t="s">
        <v>246</v>
      </c>
      <c r="H315" s="2">
        <v>24</v>
      </c>
      <c r="I315" s="2" t="str">
        <f t="shared" si="11"/>
        <v>20 + Yrs</v>
      </c>
    </row>
    <row r="316" spans="2:9" hidden="1" x14ac:dyDescent="0.3">
      <c r="B316" s="6">
        <v>58</v>
      </c>
      <c r="C316" s="6" t="str">
        <f t="shared" si="10"/>
        <v>50+</v>
      </c>
      <c r="D316" s="6" t="s">
        <v>231</v>
      </c>
      <c r="E316" s="6" t="s">
        <v>234</v>
      </c>
      <c r="F316" s="6" t="s">
        <v>241</v>
      </c>
      <c r="G316" s="6" t="s">
        <v>244</v>
      </c>
      <c r="H316" s="6">
        <v>21</v>
      </c>
      <c r="I316" t="str">
        <f t="shared" si="11"/>
        <v>20 + Yrs</v>
      </c>
    </row>
    <row r="317" spans="2:9" x14ac:dyDescent="0.3">
      <c r="B317" s="2">
        <v>53</v>
      </c>
      <c r="C317" s="2" t="str">
        <f t="shared" si="10"/>
        <v>50+</v>
      </c>
      <c r="D317" s="2" t="s">
        <v>231</v>
      </c>
      <c r="E317" s="2" t="s">
        <v>236</v>
      </c>
      <c r="F317" s="2" t="s">
        <v>242</v>
      </c>
      <c r="G317" s="2" t="s">
        <v>246</v>
      </c>
      <c r="H317" s="2">
        <v>35</v>
      </c>
      <c r="I317" s="2" t="str">
        <f t="shared" si="11"/>
        <v>20 + Yrs</v>
      </c>
    </row>
    <row r="318" spans="2:9" hidden="1" x14ac:dyDescent="0.3">
      <c r="B318" s="6">
        <v>32</v>
      </c>
      <c r="C318" s="6" t="str">
        <f t="shared" si="10"/>
        <v>30-40</v>
      </c>
      <c r="D318" s="6" t="s">
        <v>231</v>
      </c>
      <c r="E318" s="6" t="s">
        <v>235</v>
      </c>
      <c r="F318" s="6" t="s">
        <v>239</v>
      </c>
      <c r="G318" s="6" t="s">
        <v>245</v>
      </c>
      <c r="H318" s="6">
        <v>23</v>
      </c>
      <c r="I318" t="str">
        <f t="shared" si="11"/>
        <v>20 + Yrs</v>
      </c>
    </row>
    <row r="319" spans="2:9" hidden="1" x14ac:dyDescent="0.3">
      <c r="B319" s="2">
        <v>47</v>
      </c>
      <c r="C319" s="2" t="str">
        <f t="shared" si="10"/>
        <v>40-50</v>
      </c>
      <c r="D319" s="2" t="s">
        <v>231</v>
      </c>
      <c r="E319" s="2" t="s">
        <v>233</v>
      </c>
      <c r="F319" s="2" t="s">
        <v>242</v>
      </c>
      <c r="G319" s="2" t="s">
        <v>245</v>
      </c>
      <c r="H319" s="2">
        <v>24</v>
      </c>
      <c r="I319" t="str">
        <f t="shared" si="11"/>
        <v>20 + Yrs</v>
      </c>
    </row>
    <row r="320" spans="2:9" hidden="1" x14ac:dyDescent="0.3">
      <c r="B320" s="2">
        <v>35</v>
      </c>
      <c r="C320" s="2" t="str">
        <f t="shared" si="10"/>
        <v>30-40</v>
      </c>
      <c r="D320" s="2" t="s">
        <v>232</v>
      </c>
      <c r="E320" s="2" t="s">
        <v>234</v>
      </c>
      <c r="F320" s="2" t="s">
        <v>239</v>
      </c>
      <c r="G320" s="2" t="s">
        <v>244</v>
      </c>
      <c r="H320" s="2">
        <v>27</v>
      </c>
      <c r="I320" t="str">
        <f t="shared" si="11"/>
        <v>20 + Yrs</v>
      </c>
    </row>
    <row r="321" spans="2:9" x14ac:dyDescent="0.3">
      <c r="B321" s="2">
        <v>53</v>
      </c>
      <c r="C321" s="2" t="str">
        <f t="shared" si="10"/>
        <v>50+</v>
      </c>
      <c r="D321" s="2" t="s">
        <v>232</v>
      </c>
      <c r="E321" s="2" t="s">
        <v>235</v>
      </c>
      <c r="F321" s="2" t="s">
        <v>242</v>
      </c>
      <c r="G321" s="2" t="s">
        <v>246</v>
      </c>
      <c r="H321" s="2">
        <v>23</v>
      </c>
      <c r="I321" s="2" t="str">
        <f t="shared" si="11"/>
        <v>20 + Yrs</v>
      </c>
    </row>
    <row r="322" spans="2:9" hidden="1" x14ac:dyDescent="0.3">
      <c r="B322" s="6">
        <v>57</v>
      </c>
      <c r="C322" s="6" t="str">
        <f t="shared" si="10"/>
        <v>50+</v>
      </c>
      <c r="D322" s="6" t="s">
        <v>231</v>
      </c>
      <c r="E322" s="6" t="s">
        <v>235</v>
      </c>
      <c r="F322" s="6" t="s">
        <v>239</v>
      </c>
      <c r="G322" s="6" t="s">
        <v>244</v>
      </c>
      <c r="H322" s="6">
        <v>15</v>
      </c>
      <c r="I322" t="str">
        <f t="shared" si="11"/>
        <v>11-20 Yrs</v>
      </c>
    </row>
    <row r="323" spans="2:9" hidden="1" x14ac:dyDescent="0.3">
      <c r="B323" s="2">
        <v>55</v>
      </c>
      <c r="C323" s="2" t="str">
        <f t="shared" si="10"/>
        <v>50+</v>
      </c>
      <c r="D323" s="2" t="s">
        <v>231</v>
      </c>
      <c r="E323" s="2" t="s">
        <v>235</v>
      </c>
      <c r="F323" s="2" t="s">
        <v>239</v>
      </c>
      <c r="G323" s="2" t="s">
        <v>245</v>
      </c>
      <c r="H323" s="2">
        <v>29</v>
      </c>
      <c r="I323" t="str">
        <f t="shared" si="11"/>
        <v>20 + Yrs</v>
      </c>
    </row>
    <row r="324" spans="2:9" hidden="1" x14ac:dyDescent="0.3">
      <c r="B324" s="2">
        <v>35</v>
      </c>
      <c r="C324" s="2" t="str">
        <f t="shared" si="10"/>
        <v>30-40</v>
      </c>
      <c r="D324" s="2" t="s">
        <v>231</v>
      </c>
      <c r="E324" s="2" t="s">
        <v>233</v>
      </c>
      <c r="F324" s="2" t="s">
        <v>239</v>
      </c>
      <c r="G324" s="2" t="s">
        <v>244</v>
      </c>
      <c r="H324" s="2">
        <v>21</v>
      </c>
      <c r="I324" t="str">
        <f t="shared" si="11"/>
        <v>20 + Yrs</v>
      </c>
    </row>
    <row r="325" spans="2:9" x14ac:dyDescent="0.3">
      <c r="B325" s="2">
        <v>53</v>
      </c>
      <c r="C325" s="2" t="str">
        <f t="shared" ref="C325:C388" si="12">IF(B325&lt;30,"&lt;30",IF(B325&lt;=40,"30-40",IF(B325&lt;=50,"40-50",IF(B325&gt;50,"50+","Unknown"))))</f>
        <v>50+</v>
      </c>
      <c r="D325" s="2" t="s">
        <v>231</v>
      </c>
      <c r="E325" s="2" t="s">
        <v>235</v>
      </c>
      <c r="F325" s="2" t="s">
        <v>242</v>
      </c>
      <c r="G325" s="2" t="s">
        <v>246</v>
      </c>
      <c r="H325" s="2">
        <v>21</v>
      </c>
      <c r="I325" s="2" t="str">
        <f t="shared" ref="I325:I388" si="13">IF(H325&lt;=4,"0-4 Yrs",IF(H325&lt;=10,"5-10 Yrs",IF(H325&lt;=20,"11-20 Yrs",IF(H325&gt;20,"20 + Yrs","Unknown"))))</f>
        <v>20 + Yrs</v>
      </c>
    </row>
    <row r="326" spans="2:9" hidden="1" x14ac:dyDescent="0.3">
      <c r="B326" s="6">
        <v>30</v>
      </c>
      <c r="C326" s="6" t="str">
        <f t="shared" si="12"/>
        <v>30-40</v>
      </c>
      <c r="D326" s="6" t="s">
        <v>231</v>
      </c>
      <c r="E326" s="6" t="s">
        <v>234</v>
      </c>
      <c r="F326" s="6" t="s">
        <v>240</v>
      </c>
      <c r="G326" s="6" t="s">
        <v>245</v>
      </c>
      <c r="H326" s="6">
        <v>13</v>
      </c>
      <c r="I326" t="str">
        <f t="shared" si="13"/>
        <v>11-20 Yrs</v>
      </c>
    </row>
    <row r="327" spans="2:9" hidden="1" x14ac:dyDescent="0.3">
      <c r="B327" s="2">
        <v>56</v>
      </c>
      <c r="C327" s="2" t="str">
        <f t="shared" si="12"/>
        <v>50+</v>
      </c>
      <c r="D327" s="2" t="s">
        <v>231</v>
      </c>
      <c r="E327" s="2" t="s">
        <v>237</v>
      </c>
      <c r="F327" s="2" t="s">
        <v>242</v>
      </c>
      <c r="G327" s="2" t="s">
        <v>245</v>
      </c>
      <c r="H327" s="2">
        <v>22</v>
      </c>
      <c r="I327" t="str">
        <f t="shared" si="13"/>
        <v>20 + Yrs</v>
      </c>
    </row>
    <row r="328" spans="2:9" x14ac:dyDescent="0.3">
      <c r="B328" s="2">
        <v>53</v>
      </c>
      <c r="C328" s="2" t="str">
        <f t="shared" si="12"/>
        <v>50+</v>
      </c>
      <c r="D328" s="2" t="s">
        <v>231</v>
      </c>
      <c r="E328" s="2" t="s">
        <v>237</v>
      </c>
      <c r="F328" s="2" t="s">
        <v>242</v>
      </c>
      <c r="G328" s="2" t="s">
        <v>246</v>
      </c>
      <c r="H328" s="2">
        <v>13</v>
      </c>
      <c r="I328" s="2" t="str">
        <f t="shared" si="13"/>
        <v>11-20 Yrs</v>
      </c>
    </row>
    <row r="329" spans="2:9" hidden="1" x14ac:dyDescent="0.3">
      <c r="B329" s="6">
        <v>60</v>
      </c>
      <c r="C329" s="6" t="str">
        <f t="shared" si="12"/>
        <v>50+</v>
      </c>
      <c r="D329" s="6" t="s">
        <v>232</v>
      </c>
      <c r="E329" s="6" t="s">
        <v>234</v>
      </c>
      <c r="F329" s="6" t="s">
        <v>239</v>
      </c>
      <c r="G329" s="6" t="s">
        <v>244</v>
      </c>
      <c r="H329" s="6">
        <v>25</v>
      </c>
      <c r="I329" t="str">
        <f t="shared" si="13"/>
        <v>20 + Yrs</v>
      </c>
    </row>
    <row r="330" spans="2:9" x14ac:dyDescent="0.3">
      <c r="B330" s="2">
        <v>53</v>
      </c>
      <c r="C330" s="2" t="str">
        <f t="shared" si="12"/>
        <v>50+</v>
      </c>
      <c r="D330" s="2" t="s">
        <v>231</v>
      </c>
      <c r="E330" s="2" t="s">
        <v>236</v>
      </c>
      <c r="F330" s="2" t="s">
        <v>241</v>
      </c>
      <c r="G330" s="2" t="s">
        <v>246</v>
      </c>
      <c r="H330" s="2">
        <v>7</v>
      </c>
      <c r="I330" s="2" t="str">
        <f t="shared" si="13"/>
        <v>5-10 Yrs</v>
      </c>
    </row>
    <row r="331" spans="2:9" hidden="1" x14ac:dyDescent="0.3">
      <c r="B331" s="6">
        <v>51</v>
      </c>
      <c r="C331" s="6" t="str">
        <f t="shared" si="12"/>
        <v>50+</v>
      </c>
      <c r="D331" s="6" t="s">
        <v>231</v>
      </c>
      <c r="E331" s="6" t="s">
        <v>235</v>
      </c>
      <c r="F331" s="6" t="s">
        <v>243</v>
      </c>
      <c r="G331" s="6" t="s">
        <v>245</v>
      </c>
      <c r="H331" s="6">
        <v>29</v>
      </c>
      <c r="I331" t="str">
        <f t="shared" si="13"/>
        <v>20 + Yrs</v>
      </c>
    </row>
    <row r="332" spans="2:9" x14ac:dyDescent="0.3">
      <c r="B332" s="2">
        <v>53</v>
      </c>
      <c r="C332" s="2" t="str">
        <f t="shared" si="12"/>
        <v>50+</v>
      </c>
      <c r="D332" s="2" t="s">
        <v>232</v>
      </c>
      <c r="E332" s="2" t="s">
        <v>234</v>
      </c>
      <c r="F332" s="2" t="s">
        <v>243</v>
      </c>
      <c r="G332" s="2" t="s">
        <v>246</v>
      </c>
      <c r="H332" s="2">
        <v>25</v>
      </c>
      <c r="I332" s="2" t="str">
        <f t="shared" si="13"/>
        <v>20 + Yrs</v>
      </c>
    </row>
    <row r="333" spans="2:9" x14ac:dyDescent="0.3">
      <c r="B333" s="2">
        <v>54</v>
      </c>
      <c r="C333" s="2" t="str">
        <f t="shared" si="12"/>
        <v>50+</v>
      </c>
      <c r="D333" s="2" t="s">
        <v>232</v>
      </c>
      <c r="E333" s="2" t="s">
        <v>235</v>
      </c>
      <c r="F333" s="2" t="s">
        <v>241</v>
      </c>
      <c r="G333" s="2" t="s">
        <v>246</v>
      </c>
      <c r="H333" s="2">
        <v>27</v>
      </c>
      <c r="I333" s="2" t="str">
        <f t="shared" si="13"/>
        <v>20 + Yrs</v>
      </c>
    </row>
    <row r="334" spans="2:9" hidden="1" x14ac:dyDescent="0.3">
      <c r="B334" s="6">
        <v>58</v>
      </c>
      <c r="C334" s="6" t="str">
        <f t="shared" si="12"/>
        <v>50+</v>
      </c>
      <c r="D334" s="6" t="s">
        <v>231</v>
      </c>
      <c r="E334" s="6" t="s">
        <v>237</v>
      </c>
      <c r="F334" s="6" t="s">
        <v>240</v>
      </c>
      <c r="G334" s="6" t="s">
        <v>244</v>
      </c>
      <c r="H334" s="6">
        <v>6</v>
      </c>
      <c r="I334" t="str">
        <f t="shared" si="13"/>
        <v>5-10 Yrs</v>
      </c>
    </row>
    <row r="335" spans="2:9" x14ac:dyDescent="0.3">
      <c r="B335" s="2">
        <v>54</v>
      </c>
      <c r="C335" s="2" t="str">
        <f t="shared" si="12"/>
        <v>50+</v>
      </c>
      <c r="D335" s="2" t="s">
        <v>231</v>
      </c>
      <c r="E335" s="2" t="s">
        <v>233</v>
      </c>
      <c r="F335" s="2" t="s">
        <v>240</v>
      </c>
      <c r="G335" s="2" t="s">
        <v>246</v>
      </c>
      <c r="H335" s="2">
        <v>27</v>
      </c>
      <c r="I335" s="2" t="str">
        <f t="shared" si="13"/>
        <v>20 + Yrs</v>
      </c>
    </row>
    <row r="336" spans="2:9" hidden="1" x14ac:dyDescent="0.3">
      <c r="B336" s="6">
        <v>56</v>
      </c>
      <c r="C336" s="6" t="str">
        <f t="shared" si="12"/>
        <v>50+</v>
      </c>
      <c r="D336" s="6" t="s">
        <v>231</v>
      </c>
      <c r="E336" s="6" t="s">
        <v>234</v>
      </c>
      <c r="F336" s="6" t="s">
        <v>243</v>
      </c>
      <c r="G336" s="6" t="s">
        <v>244</v>
      </c>
      <c r="H336" s="6">
        <v>27</v>
      </c>
      <c r="I336" t="str">
        <f t="shared" si="13"/>
        <v>20 + Yrs</v>
      </c>
    </row>
    <row r="337" spans="2:9" x14ac:dyDescent="0.3">
      <c r="B337" s="2">
        <v>54</v>
      </c>
      <c r="C337" s="2" t="str">
        <f t="shared" si="12"/>
        <v>50+</v>
      </c>
      <c r="D337" s="2" t="s">
        <v>232</v>
      </c>
      <c r="E337" s="2" t="s">
        <v>233</v>
      </c>
      <c r="F337" s="2" t="s">
        <v>241</v>
      </c>
      <c r="G337" s="2" t="s">
        <v>246</v>
      </c>
      <c r="H337" s="2">
        <v>6</v>
      </c>
      <c r="I337" s="2" t="str">
        <f t="shared" si="13"/>
        <v>5-10 Yrs</v>
      </c>
    </row>
    <row r="338" spans="2:9" hidden="1" x14ac:dyDescent="0.3">
      <c r="B338" s="6">
        <v>47</v>
      </c>
      <c r="C338" s="6" t="str">
        <f t="shared" si="12"/>
        <v>40-50</v>
      </c>
      <c r="D338" s="6" t="s">
        <v>232</v>
      </c>
      <c r="E338" s="6" t="s">
        <v>234</v>
      </c>
      <c r="F338" s="6" t="s">
        <v>240</v>
      </c>
      <c r="G338" s="6" t="s">
        <v>244</v>
      </c>
      <c r="H338" s="6">
        <v>4</v>
      </c>
      <c r="I338" t="str">
        <f t="shared" si="13"/>
        <v>0-4 Yrs</v>
      </c>
    </row>
    <row r="339" spans="2:9" x14ac:dyDescent="0.3">
      <c r="B339" s="2">
        <v>54</v>
      </c>
      <c r="C339" s="2" t="str">
        <f t="shared" si="12"/>
        <v>50+</v>
      </c>
      <c r="D339" s="2" t="s">
        <v>231</v>
      </c>
      <c r="E339" s="2" t="s">
        <v>233</v>
      </c>
      <c r="F339" s="2" t="s">
        <v>238</v>
      </c>
      <c r="G339" s="2" t="s">
        <v>246</v>
      </c>
      <c r="H339" s="2">
        <v>13</v>
      </c>
      <c r="I339" s="2" t="str">
        <f t="shared" si="13"/>
        <v>11-20 Yrs</v>
      </c>
    </row>
    <row r="340" spans="2:9" hidden="1" x14ac:dyDescent="0.3">
      <c r="B340" s="6">
        <v>34</v>
      </c>
      <c r="C340" s="6" t="str">
        <f t="shared" si="12"/>
        <v>30-40</v>
      </c>
      <c r="D340" s="6" t="s">
        <v>232</v>
      </c>
      <c r="E340" s="6" t="s">
        <v>234</v>
      </c>
      <c r="F340" s="6" t="s">
        <v>238</v>
      </c>
      <c r="G340" s="6" t="s">
        <v>245</v>
      </c>
      <c r="H340" s="6">
        <v>21</v>
      </c>
      <c r="I340" t="str">
        <f t="shared" si="13"/>
        <v>20 + Yrs</v>
      </c>
    </row>
    <row r="341" spans="2:9" hidden="1" x14ac:dyDescent="0.3">
      <c r="B341" s="2">
        <v>49</v>
      </c>
      <c r="C341" s="2" t="str">
        <f t="shared" si="12"/>
        <v>40-50</v>
      </c>
      <c r="D341" s="2" t="s">
        <v>232</v>
      </c>
      <c r="E341" s="2" t="s">
        <v>234</v>
      </c>
      <c r="F341" s="2" t="s">
        <v>241</v>
      </c>
      <c r="G341" s="2" t="s">
        <v>245</v>
      </c>
      <c r="H341" s="2">
        <v>13</v>
      </c>
      <c r="I341" t="str">
        <f t="shared" si="13"/>
        <v>11-20 Yrs</v>
      </c>
    </row>
    <row r="342" spans="2:9" hidden="1" x14ac:dyDescent="0.3">
      <c r="B342" s="2">
        <v>56</v>
      </c>
      <c r="C342" s="2" t="str">
        <f t="shared" si="12"/>
        <v>50+</v>
      </c>
      <c r="D342" s="2" t="s">
        <v>231</v>
      </c>
      <c r="E342" s="2" t="s">
        <v>237</v>
      </c>
      <c r="F342" s="2" t="s">
        <v>240</v>
      </c>
      <c r="G342" s="2" t="s">
        <v>245</v>
      </c>
      <c r="H342" s="2">
        <v>1</v>
      </c>
      <c r="I342" t="str">
        <f t="shared" si="13"/>
        <v>0-4 Yrs</v>
      </c>
    </row>
    <row r="343" spans="2:9" hidden="1" x14ac:dyDescent="0.3">
      <c r="B343" s="2">
        <v>39</v>
      </c>
      <c r="C343" s="2" t="str">
        <f t="shared" si="12"/>
        <v>30-40</v>
      </c>
      <c r="D343" s="2" t="s">
        <v>231</v>
      </c>
      <c r="E343" s="2" t="s">
        <v>233</v>
      </c>
      <c r="F343" s="2" t="s">
        <v>243</v>
      </c>
      <c r="G343" s="2" t="s">
        <v>244</v>
      </c>
      <c r="H343" s="2">
        <v>21</v>
      </c>
      <c r="I343" t="str">
        <f t="shared" si="13"/>
        <v>20 + Yrs</v>
      </c>
    </row>
    <row r="344" spans="2:9" x14ac:dyDescent="0.3">
      <c r="B344" s="2">
        <v>55</v>
      </c>
      <c r="C344" s="2" t="str">
        <f t="shared" si="12"/>
        <v>50+</v>
      </c>
      <c r="D344" s="2" t="s">
        <v>232</v>
      </c>
      <c r="E344" s="2" t="s">
        <v>236</v>
      </c>
      <c r="F344" s="2" t="s">
        <v>243</v>
      </c>
      <c r="G344" s="2" t="s">
        <v>246</v>
      </c>
      <c r="H344" s="2">
        <v>7</v>
      </c>
      <c r="I344" s="2" t="str">
        <f t="shared" si="13"/>
        <v>5-10 Yrs</v>
      </c>
    </row>
    <row r="345" spans="2:9" hidden="1" x14ac:dyDescent="0.3">
      <c r="B345" s="6">
        <v>27</v>
      </c>
      <c r="C345" s="6" t="str">
        <f t="shared" si="12"/>
        <v>&lt;30</v>
      </c>
      <c r="D345" s="6" t="s">
        <v>231</v>
      </c>
      <c r="E345" s="6" t="s">
        <v>235</v>
      </c>
      <c r="F345" s="6" t="s">
        <v>238</v>
      </c>
      <c r="G345" s="6" t="s">
        <v>245</v>
      </c>
      <c r="H345" s="6">
        <v>14</v>
      </c>
      <c r="I345" t="str">
        <f t="shared" si="13"/>
        <v>11-20 Yrs</v>
      </c>
    </row>
    <row r="346" spans="2:9" hidden="1" x14ac:dyDescent="0.3">
      <c r="B346" s="2">
        <v>32</v>
      </c>
      <c r="C346" s="2" t="str">
        <f t="shared" si="12"/>
        <v>30-40</v>
      </c>
      <c r="D346" s="2" t="s">
        <v>232</v>
      </c>
      <c r="E346" s="2" t="s">
        <v>234</v>
      </c>
      <c r="F346" s="2" t="s">
        <v>241</v>
      </c>
      <c r="G346" s="2" t="s">
        <v>244</v>
      </c>
      <c r="H346" s="2">
        <v>1</v>
      </c>
      <c r="I346" t="str">
        <f t="shared" si="13"/>
        <v>0-4 Yrs</v>
      </c>
    </row>
    <row r="347" spans="2:9" x14ac:dyDescent="0.3">
      <c r="B347" s="2">
        <v>56</v>
      </c>
      <c r="C347" s="2" t="str">
        <f t="shared" si="12"/>
        <v>50+</v>
      </c>
      <c r="D347" s="2" t="s">
        <v>231</v>
      </c>
      <c r="E347" s="2" t="s">
        <v>236</v>
      </c>
      <c r="F347" s="2" t="s">
        <v>242</v>
      </c>
      <c r="G347" s="2" t="s">
        <v>246</v>
      </c>
      <c r="H347" s="2">
        <v>19</v>
      </c>
      <c r="I347" s="2" t="str">
        <f t="shared" si="13"/>
        <v>11-20 Yrs</v>
      </c>
    </row>
    <row r="348" spans="2:9" x14ac:dyDescent="0.3">
      <c r="B348" s="2">
        <v>57</v>
      </c>
      <c r="C348" s="2" t="str">
        <f t="shared" si="12"/>
        <v>50+</v>
      </c>
      <c r="D348" s="2" t="s">
        <v>231</v>
      </c>
      <c r="E348" s="2" t="s">
        <v>237</v>
      </c>
      <c r="F348" s="2" t="s">
        <v>242</v>
      </c>
      <c r="G348" s="2" t="s">
        <v>246</v>
      </c>
      <c r="H348" s="2">
        <v>22</v>
      </c>
      <c r="I348" s="2" t="str">
        <f t="shared" si="13"/>
        <v>20 + Yrs</v>
      </c>
    </row>
    <row r="349" spans="2:9" x14ac:dyDescent="0.3">
      <c r="B349" s="2">
        <v>57</v>
      </c>
      <c r="C349" s="2" t="str">
        <f t="shared" si="12"/>
        <v>50+</v>
      </c>
      <c r="D349" s="2" t="s">
        <v>231</v>
      </c>
      <c r="E349" s="2" t="s">
        <v>237</v>
      </c>
      <c r="F349" s="2" t="s">
        <v>240</v>
      </c>
      <c r="G349" s="2" t="s">
        <v>246</v>
      </c>
      <c r="H349" s="2">
        <v>20</v>
      </c>
      <c r="I349" s="2" t="str">
        <f t="shared" si="13"/>
        <v>11-20 Yrs</v>
      </c>
    </row>
    <row r="350" spans="2:9" hidden="1" x14ac:dyDescent="0.3">
      <c r="B350" s="6">
        <v>30</v>
      </c>
      <c r="C350" s="6" t="str">
        <f t="shared" si="12"/>
        <v>30-40</v>
      </c>
      <c r="D350" s="6" t="s">
        <v>231</v>
      </c>
      <c r="E350" s="6" t="s">
        <v>234</v>
      </c>
      <c r="F350" s="6" t="s">
        <v>243</v>
      </c>
      <c r="G350" s="6" t="s">
        <v>244</v>
      </c>
      <c r="H350" s="6">
        <v>1</v>
      </c>
      <c r="I350" t="str">
        <f t="shared" si="13"/>
        <v>0-4 Yrs</v>
      </c>
    </row>
    <row r="351" spans="2:9" hidden="1" x14ac:dyDescent="0.3">
      <c r="B351" s="2">
        <v>59</v>
      </c>
      <c r="C351" s="2" t="str">
        <f t="shared" si="12"/>
        <v>50+</v>
      </c>
      <c r="D351" s="2" t="s">
        <v>232</v>
      </c>
      <c r="E351" s="2" t="s">
        <v>233</v>
      </c>
      <c r="F351" s="2" t="s">
        <v>242</v>
      </c>
      <c r="G351" s="2" t="s">
        <v>244</v>
      </c>
      <c r="H351" s="2">
        <v>6</v>
      </c>
      <c r="I351" t="str">
        <f t="shared" si="13"/>
        <v>5-10 Yrs</v>
      </c>
    </row>
    <row r="352" spans="2:9" hidden="1" x14ac:dyDescent="0.3">
      <c r="B352" s="2">
        <v>56</v>
      </c>
      <c r="C352" s="2" t="str">
        <f t="shared" si="12"/>
        <v>50+</v>
      </c>
      <c r="D352" s="2" t="s">
        <v>232</v>
      </c>
      <c r="E352" s="2" t="s">
        <v>236</v>
      </c>
      <c r="F352" s="2" t="s">
        <v>241</v>
      </c>
      <c r="G352" s="2" t="s">
        <v>245</v>
      </c>
      <c r="H352" s="2">
        <v>24</v>
      </c>
      <c r="I352" t="str">
        <f t="shared" si="13"/>
        <v>20 + Yrs</v>
      </c>
    </row>
    <row r="353" spans="2:9" hidden="1" x14ac:dyDescent="0.3">
      <c r="B353" s="2">
        <v>47</v>
      </c>
      <c r="C353" s="2" t="str">
        <f t="shared" si="12"/>
        <v>40-50</v>
      </c>
      <c r="D353" s="2" t="s">
        <v>232</v>
      </c>
      <c r="E353" s="2" t="s">
        <v>235</v>
      </c>
      <c r="F353" s="2" t="s">
        <v>239</v>
      </c>
      <c r="G353" s="2" t="s">
        <v>245</v>
      </c>
      <c r="H353" s="2">
        <v>6</v>
      </c>
      <c r="I353" t="str">
        <f t="shared" si="13"/>
        <v>5-10 Yrs</v>
      </c>
    </row>
    <row r="354" spans="2:9" x14ac:dyDescent="0.3">
      <c r="B354" s="2">
        <v>57</v>
      </c>
      <c r="C354" s="2" t="str">
        <f t="shared" si="12"/>
        <v>50+</v>
      </c>
      <c r="D354" s="2" t="s">
        <v>232</v>
      </c>
      <c r="E354" s="2" t="s">
        <v>235</v>
      </c>
      <c r="F354" s="2" t="s">
        <v>243</v>
      </c>
      <c r="G354" s="2" t="s">
        <v>246</v>
      </c>
      <c r="H354" s="2">
        <v>11</v>
      </c>
      <c r="I354" s="2" t="str">
        <f t="shared" si="13"/>
        <v>11-20 Yrs</v>
      </c>
    </row>
    <row r="355" spans="2:9" x14ac:dyDescent="0.3">
      <c r="B355" s="2">
        <v>57</v>
      </c>
      <c r="C355" s="2" t="str">
        <f t="shared" si="12"/>
        <v>50+</v>
      </c>
      <c r="D355" s="2" t="s">
        <v>231</v>
      </c>
      <c r="E355" s="2" t="s">
        <v>235</v>
      </c>
      <c r="F355" s="2" t="s">
        <v>240</v>
      </c>
      <c r="G355" s="2" t="s">
        <v>246</v>
      </c>
      <c r="H355" s="2">
        <v>21</v>
      </c>
      <c r="I355" s="2" t="str">
        <f t="shared" si="13"/>
        <v>20 + Yrs</v>
      </c>
    </row>
    <row r="356" spans="2:9" hidden="1" x14ac:dyDescent="0.3">
      <c r="B356" s="6">
        <v>41</v>
      </c>
      <c r="C356" s="6" t="str">
        <f t="shared" si="12"/>
        <v>40-50</v>
      </c>
      <c r="D356" s="6" t="s">
        <v>231</v>
      </c>
      <c r="E356" s="6" t="s">
        <v>233</v>
      </c>
      <c r="F356" s="6" t="s">
        <v>238</v>
      </c>
      <c r="G356" s="6" t="s">
        <v>245</v>
      </c>
      <c r="H356" s="6">
        <v>20</v>
      </c>
      <c r="I356" t="str">
        <f t="shared" si="13"/>
        <v>11-20 Yrs</v>
      </c>
    </row>
    <row r="357" spans="2:9" hidden="1" x14ac:dyDescent="0.3">
      <c r="B357" s="2">
        <v>26</v>
      </c>
      <c r="C357" s="2" t="str">
        <f t="shared" si="12"/>
        <v>&lt;30</v>
      </c>
      <c r="D357" s="2" t="s">
        <v>231</v>
      </c>
      <c r="E357" s="2" t="s">
        <v>237</v>
      </c>
      <c r="F357" s="2" t="s">
        <v>239</v>
      </c>
      <c r="G357" s="2" t="s">
        <v>244</v>
      </c>
      <c r="H357" s="2">
        <v>15</v>
      </c>
      <c r="I357" t="str">
        <f t="shared" si="13"/>
        <v>11-20 Yrs</v>
      </c>
    </row>
    <row r="358" spans="2:9" hidden="1" x14ac:dyDescent="0.3">
      <c r="B358" s="2">
        <v>29</v>
      </c>
      <c r="C358" s="2" t="str">
        <f t="shared" si="12"/>
        <v>&lt;30</v>
      </c>
      <c r="D358" s="2" t="s">
        <v>231</v>
      </c>
      <c r="E358" s="2" t="s">
        <v>235</v>
      </c>
      <c r="F358" s="2" t="s">
        <v>242</v>
      </c>
      <c r="G358" s="2" t="s">
        <v>245</v>
      </c>
      <c r="H358" s="2">
        <v>9</v>
      </c>
      <c r="I358" t="str">
        <f t="shared" si="13"/>
        <v>5-10 Yrs</v>
      </c>
    </row>
    <row r="359" spans="2:9" hidden="1" x14ac:dyDescent="0.3">
      <c r="B359" s="2">
        <v>27</v>
      </c>
      <c r="C359" s="2" t="str">
        <f t="shared" si="12"/>
        <v>&lt;30</v>
      </c>
      <c r="D359" s="2" t="s">
        <v>231</v>
      </c>
      <c r="E359" s="2" t="s">
        <v>237</v>
      </c>
      <c r="F359" s="2" t="s">
        <v>239</v>
      </c>
      <c r="G359" s="2" t="s">
        <v>244</v>
      </c>
      <c r="H359" s="2">
        <v>19</v>
      </c>
      <c r="I359" t="str">
        <f t="shared" si="13"/>
        <v>11-20 Yrs</v>
      </c>
    </row>
    <row r="360" spans="2:9" hidden="1" x14ac:dyDescent="0.3">
      <c r="B360" s="2">
        <v>34</v>
      </c>
      <c r="C360" s="2" t="str">
        <f t="shared" si="12"/>
        <v>30-40</v>
      </c>
      <c r="D360" s="2" t="s">
        <v>231</v>
      </c>
      <c r="E360" s="2" t="s">
        <v>234</v>
      </c>
      <c r="F360" s="2" t="s">
        <v>241</v>
      </c>
      <c r="G360" s="2" t="s">
        <v>244</v>
      </c>
      <c r="H360" s="2">
        <v>19</v>
      </c>
      <c r="I360" t="str">
        <f t="shared" si="13"/>
        <v>11-20 Yrs</v>
      </c>
    </row>
    <row r="361" spans="2:9" hidden="1" x14ac:dyDescent="0.3">
      <c r="B361" s="2">
        <v>39</v>
      </c>
      <c r="C361" s="2" t="str">
        <f t="shared" si="12"/>
        <v>30-40</v>
      </c>
      <c r="D361" s="2" t="s">
        <v>231</v>
      </c>
      <c r="E361" s="2" t="s">
        <v>233</v>
      </c>
      <c r="F361" s="2" t="s">
        <v>241</v>
      </c>
      <c r="G361" s="2" t="s">
        <v>245</v>
      </c>
      <c r="H361" s="2">
        <v>11</v>
      </c>
      <c r="I361" t="str">
        <f t="shared" si="13"/>
        <v>11-20 Yrs</v>
      </c>
    </row>
    <row r="362" spans="2:9" hidden="1" x14ac:dyDescent="0.3">
      <c r="B362" s="2">
        <v>36</v>
      </c>
      <c r="C362" s="2" t="str">
        <f t="shared" si="12"/>
        <v>30-40</v>
      </c>
      <c r="D362" s="2" t="s">
        <v>231</v>
      </c>
      <c r="E362" s="2" t="s">
        <v>235</v>
      </c>
      <c r="F362" s="2" t="s">
        <v>241</v>
      </c>
      <c r="G362" s="2" t="s">
        <v>244</v>
      </c>
      <c r="H362" s="2">
        <v>30</v>
      </c>
      <c r="I362" t="str">
        <f t="shared" si="13"/>
        <v>20 + Yrs</v>
      </c>
    </row>
    <row r="363" spans="2:9" hidden="1" x14ac:dyDescent="0.3">
      <c r="B363" s="2">
        <v>33</v>
      </c>
      <c r="C363" s="2" t="str">
        <f t="shared" si="12"/>
        <v>30-40</v>
      </c>
      <c r="D363" s="2" t="s">
        <v>231</v>
      </c>
      <c r="E363" s="2" t="s">
        <v>236</v>
      </c>
      <c r="F363" s="2" t="s">
        <v>241</v>
      </c>
      <c r="G363" s="2" t="s">
        <v>244</v>
      </c>
      <c r="H363" s="2">
        <v>6</v>
      </c>
      <c r="I363" t="str">
        <f t="shared" si="13"/>
        <v>5-10 Yrs</v>
      </c>
    </row>
    <row r="364" spans="2:9" hidden="1" x14ac:dyDescent="0.3">
      <c r="B364" s="2">
        <v>59</v>
      </c>
      <c r="C364" s="2" t="str">
        <f t="shared" si="12"/>
        <v>50+</v>
      </c>
      <c r="D364" s="2" t="s">
        <v>232</v>
      </c>
      <c r="E364" s="2" t="s">
        <v>233</v>
      </c>
      <c r="F364" s="2" t="s">
        <v>242</v>
      </c>
      <c r="G364" s="2" t="s">
        <v>244</v>
      </c>
      <c r="H364" s="2">
        <v>16</v>
      </c>
      <c r="I364" t="str">
        <f t="shared" si="13"/>
        <v>11-20 Yrs</v>
      </c>
    </row>
    <row r="365" spans="2:9" hidden="1" x14ac:dyDescent="0.3">
      <c r="B365" s="2">
        <v>51</v>
      </c>
      <c r="C365" s="2" t="str">
        <f t="shared" si="12"/>
        <v>50+</v>
      </c>
      <c r="D365" s="2" t="s">
        <v>231</v>
      </c>
      <c r="E365" s="2" t="s">
        <v>236</v>
      </c>
      <c r="F365" s="2" t="s">
        <v>242</v>
      </c>
      <c r="G365" s="2" t="s">
        <v>245</v>
      </c>
      <c r="H365" s="2">
        <v>27</v>
      </c>
      <c r="I365" t="str">
        <f t="shared" si="13"/>
        <v>20 + Yrs</v>
      </c>
    </row>
    <row r="366" spans="2:9" hidden="1" x14ac:dyDescent="0.3">
      <c r="B366" s="2">
        <v>59</v>
      </c>
      <c r="C366" s="2" t="str">
        <f t="shared" si="12"/>
        <v>50+</v>
      </c>
      <c r="D366" s="2" t="s">
        <v>232</v>
      </c>
      <c r="E366" s="2" t="s">
        <v>235</v>
      </c>
      <c r="F366" s="2" t="s">
        <v>238</v>
      </c>
      <c r="G366" s="2" t="s">
        <v>244</v>
      </c>
      <c r="H366" s="2">
        <v>16</v>
      </c>
      <c r="I366" t="str">
        <f t="shared" si="13"/>
        <v>11-20 Yrs</v>
      </c>
    </row>
    <row r="367" spans="2:9" x14ac:dyDescent="0.3">
      <c r="B367" s="2">
        <v>57</v>
      </c>
      <c r="C367" s="2" t="str">
        <f t="shared" si="12"/>
        <v>50+</v>
      </c>
      <c r="D367" s="2" t="s">
        <v>231</v>
      </c>
      <c r="E367" s="2" t="s">
        <v>236</v>
      </c>
      <c r="F367" s="2" t="s">
        <v>238</v>
      </c>
      <c r="G367" s="2" t="s">
        <v>246</v>
      </c>
      <c r="H367" s="2">
        <v>30</v>
      </c>
      <c r="I367" s="2" t="str">
        <f t="shared" si="13"/>
        <v>20 + Yrs</v>
      </c>
    </row>
    <row r="368" spans="2:9" hidden="1" x14ac:dyDescent="0.3">
      <c r="B368" s="6">
        <v>60</v>
      </c>
      <c r="C368" s="6" t="str">
        <f t="shared" si="12"/>
        <v>50+</v>
      </c>
      <c r="D368" s="6" t="s">
        <v>231</v>
      </c>
      <c r="E368" s="6" t="s">
        <v>233</v>
      </c>
      <c r="F368" s="6" t="s">
        <v>240</v>
      </c>
      <c r="G368" s="6" t="s">
        <v>244</v>
      </c>
      <c r="H368" s="6">
        <v>30</v>
      </c>
      <c r="I368" t="str">
        <f t="shared" si="13"/>
        <v>20 + Yrs</v>
      </c>
    </row>
    <row r="369" spans="2:9" x14ac:dyDescent="0.3">
      <c r="B369" s="2">
        <v>57</v>
      </c>
      <c r="C369" s="2" t="str">
        <f t="shared" si="12"/>
        <v>50+</v>
      </c>
      <c r="D369" s="2" t="s">
        <v>231</v>
      </c>
      <c r="E369" s="2" t="s">
        <v>233</v>
      </c>
      <c r="F369" s="2" t="s">
        <v>240</v>
      </c>
      <c r="G369" s="2" t="s">
        <v>246</v>
      </c>
      <c r="H369" s="2">
        <v>19</v>
      </c>
      <c r="I369" s="2" t="str">
        <f t="shared" si="13"/>
        <v>11-20 Yrs</v>
      </c>
    </row>
    <row r="370" spans="2:9" hidden="1" x14ac:dyDescent="0.3">
      <c r="B370" s="6">
        <v>35</v>
      </c>
      <c r="C370" s="6" t="str">
        <f t="shared" si="12"/>
        <v>30-40</v>
      </c>
      <c r="D370" s="6" t="s">
        <v>232</v>
      </c>
      <c r="E370" s="6" t="s">
        <v>233</v>
      </c>
      <c r="F370" s="6" t="s">
        <v>242</v>
      </c>
      <c r="G370" s="6" t="s">
        <v>245</v>
      </c>
      <c r="H370" s="6">
        <v>2</v>
      </c>
      <c r="I370" t="str">
        <f t="shared" si="13"/>
        <v>0-4 Yrs</v>
      </c>
    </row>
    <row r="371" spans="2:9" x14ac:dyDescent="0.3">
      <c r="B371" s="2">
        <v>58</v>
      </c>
      <c r="C371" s="2" t="str">
        <f t="shared" si="12"/>
        <v>50+</v>
      </c>
      <c r="D371" s="2" t="s">
        <v>231</v>
      </c>
      <c r="E371" s="2" t="s">
        <v>237</v>
      </c>
      <c r="F371" s="2" t="s">
        <v>243</v>
      </c>
      <c r="G371" s="2" t="s">
        <v>246</v>
      </c>
      <c r="H371" s="2">
        <v>15</v>
      </c>
      <c r="I371" s="2" t="str">
        <f t="shared" si="13"/>
        <v>11-20 Yrs</v>
      </c>
    </row>
    <row r="372" spans="2:9" hidden="1" x14ac:dyDescent="0.3">
      <c r="B372" s="6">
        <v>42</v>
      </c>
      <c r="C372" s="6" t="str">
        <f t="shared" si="12"/>
        <v>40-50</v>
      </c>
      <c r="D372" s="6" t="s">
        <v>231</v>
      </c>
      <c r="E372" s="6" t="s">
        <v>234</v>
      </c>
      <c r="F372" s="6" t="s">
        <v>239</v>
      </c>
      <c r="G372" s="6" t="s">
        <v>244</v>
      </c>
      <c r="H372" s="6">
        <v>6</v>
      </c>
      <c r="I372" t="str">
        <f t="shared" si="13"/>
        <v>5-10 Yrs</v>
      </c>
    </row>
    <row r="373" spans="2:9" hidden="1" x14ac:dyDescent="0.3">
      <c r="B373" s="2">
        <v>31</v>
      </c>
      <c r="C373" s="2" t="str">
        <f t="shared" si="12"/>
        <v>30-40</v>
      </c>
      <c r="D373" s="2" t="s">
        <v>231</v>
      </c>
      <c r="E373" s="2" t="s">
        <v>233</v>
      </c>
      <c r="F373" s="2" t="s">
        <v>241</v>
      </c>
      <c r="G373" s="2" t="s">
        <v>244</v>
      </c>
      <c r="H373" s="2">
        <v>9</v>
      </c>
      <c r="I373" t="str">
        <f t="shared" si="13"/>
        <v>5-10 Yrs</v>
      </c>
    </row>
    <row r="374" spans="2:9" hidden="1" x14ac:dyDescent="0.3">
      <c r="B374" s="2">
        <v>57</v>
      </c>
      <c r="C374" s="2" t="str">
        <f t="shared" si="12"/>
        <v>50+</v>
      </c>
      <c r="D374" s="2" t="s">
        <v>232</v>
      </c>
      <c r="E374" s="2" t="s">
        <v>235</v>
      </c>
      <c r="F374" s="2" t="s">
        <v>241</v>
      </c>
      <c r="G374" s="2" t="s">
        <v>244</v>
      </c>
      <c r="H374" s="2">
        <v>2</v>
      </c>
      <c r="I374" t="str">
        <f t="shared" si="13"/>
        <v>0-4 Yrs</v>
      </c>
    </row>
    <row r="375" spans="2:9" hidden="1" x14ac:dyDescent="0.3">
      <c r="B375" s="2">
        <v>36</v>
      </c>
      <c r="C375" s="2" t="str">
        <f t="shared" si="12"/>
        <v>30-40</v>
      </c>
      <c r="D375" s="2" t="s">
        <v>232</v>
      </c>
      <c r="E375" s="2" t="s">
        <v>236</v>
      </c>
      <c r="F375" s="2" t="s">
        <v>242</v>
      </c>
      <c r="G375" s="2" t="s">
        <v>244</v>
      </c>
      <c r="H375" s="2">
        <v>30</v>
      </c>
      <c r="I375" t="str">
        <f t="shared" si="13"/>
        <v>20 + Yrs</v>
      </c>
    </row>
    <row r="376" spans="2:9" hidden="1" x14ac:dyDescent="0.3">
      <c r="B376" s="2">
        <v>57</v>
      </c>
      <c r="C376" s="2" t="str">
        <f t="shared" si="12"/>
        <v>50+</v>
      </c>
      <c r="D376" s="2" t="s">
        <v>232</v>
      </c>
      <c r="E376" s="2" t="s">
        <v>237</v>
      </c>
      <c r="F376" s="2" t="s">
        <v>243</v>
      </c>
      <c r="G376" s="2" t="s">
        <v>244</v>
      </c>
      <c r="H376" s="2">
        <v>17</v>
      </c>
      <c r="I376" t="str">
        <f t="shared" si="13"/>
        <v>11-20 Yrs</v>
      </c>
    </row>
    <row r="377" spans="2:9" hidden="1" x14ac:dyDescent="0.3">
      <c r="B377" s="2">
        <v>49</v>
      </c>
      <c r="C377" s="2" t="str">
        <f t="shared" si="12"/>
        <v>40-50</v>
      </c>
      <c r="D377" s="2" t="s">
        <v>231</v>
      </c>
      <c r="E377" s="2" t="s">
        <v>236</v>
      </c>
      <c r="F377" s="2" t="s">
        <v>241</v>
      </c>
      <c r="G377" s="2" t="s">
        <v>244</v>
      </c>
      <c r="H377" s="2">
        <v>18</v>
      </c>
      <c r="I377" t="str">
        <f t="shared" si="13"/>
        <v>11-20 Yrs</v>
      </c>
    </row>
    <row r="378" spans="2:9" x14ac:dyDescent="0.3">
      <c r="B378" s="2">
        <v>58</v>
      </c>
      <c r="C378" s="2" t="str">
        <f t="shared" si="12"/>
        <v>50+</v>
      </c>
      <c r="D378" s="2" t="s">
        <v>232</v>
      </c>
      <c r="E378" s="2" t="s">
        <v>234</v>
      </c>
      <c r="F378" s="2" t="s">
        <v>242</v>
      </c>
      <c r="G378" s="2" t="s">
        <v>246</v>
      </c>
      <c r="H378" s="2">
        <v>20</v>
      </c>
      <c r="I378" s="2" t="str">
        <f t="shared" si="13"/>
        <v>11-20 Yrs</v>
      </c>
    </row>
    <row r="379" spans="2:9" hidden="1" x14ac:dyDescent="0.3">
      <c r="B379" s="6">
        <v>32</v>
      </c>
      <c r="C379" s="6" t="str">
        <f t="shared" si="12"/>
        <v>30-40</v>
      </c>
      <c r="D379" s="6" t="s">
        <v>232</v>
      </c>
      <c r="E379" s="6" t="s">
        <v>236</v>
      </c>
      <c r="F379" s="6" t="s">
        <v>241</v>
      </c>
      <c r="G379" s="6" t="s">
        <v>245</v>
      </c>
      <c r="H379" s="6">
        <v>8</v>
      </c>
      <c r="I379" t="str">
        <f t="shared" si="13"/>
        <v>5-10 Yrs</v>
      </c>
    </row>
    <row r="380" spans="2:9" hidden="1" x14ac:dyDescent="0.3">
      <c r="B380" s="2">
        <v>30</v>
      </c>
      <c r="C380" s="2" t="str">
        <f t="shared" si="12"/>
        <v>30-40</v>
      </c>
      <c r="D380" s="2" t="s">
        <v>231</v>
      </c>
      <c r="E380" s="2" t="s">
        <v>237</v>
      </c>
      <c r="F380" s="2" t="s">
        <v>242</v>
      </c>
      <c r="G380" s="2" t="s">
        <v>245</v>
      </c>
      <c r="H380" s="2">
        <v>11</v>
      </c>
      <c r="I380" t="str">
        <f t="shared" si="13"/>
        <v>11-20 Yrs</v>
      </c>
    </row>
    <row r="381" spans="2:9" hidden="1" x14ac:dyDescent="0.3">
      <c r="B381" s="2">
        <v>35</v>
      </c>
      <c r="C381" s="2" t="str">
        <f t="shared" si="12"/>
        <v>30-40</v>
      </c>
      <c r="D381" s="2" t="s">
        <v>231</v>
      </c>
      <c r="E381" s="2" t="s">
        <v>235</v>
      </c>
      <c r="F381" s="2" t="s">
        <v>242</v>
      </c>
      <c r="G381" s="2" t="s">
        <v>244</v>
      </c>
      <c r="H381" s="2">
        <v>26</v>
      </c>
      <c r="I381" t="str">
        <f t="shared" si="13"/>
        <v>20 + Yrs</v>
      </c>
    </row>
    <row r="382" spans="2:9" hidden="1" x14ac:dyDescent="0.3">
      <c r="B382" s="2">
        <v>60</v>
      </c>
      <c r="C382" s="2" t="str">
        <f t="shared" si="12"/>
        <v>50+</v>
      </c>
      <c r="D382" s="2" t="s">
        <v>231</v>
      </c>
      <c r="E382" s="2" t="s">
        <v>237</v>
      </c>
      <c r="F382" s="2" t="s">
        <v>239</v>
      </c>
      <c r="G382" s="2" t="s">
        <v>245</v>
      </c>
      <c r="H382" s="2">
        <v>25</v>
      </c>
      <c r="I382" t="str">
        <f t="shared" si="13"/>
        <v>20 + Yrs</v>
      </c>
    </row>
    <row r="383" spans="2:9" hidden="1" x14ac:dyDescent="0.3">
      <c r="B383" s="2">
        <v>31</v>
      </c>
      <c r="C383" s="2" t="str">
        <f t="shared" si="12"/>
        <v>30-40</v>
      </c>
      <c r="D383" s="2" t="s">
        <v>231</v>
      </c>
      <c r="E383" s="2" t="s">
        <v>237</v>
      </c>
      <c r="F383" s="2" t="s">
        <v>240</v>
      </c>
      <c r="G383" s="2" t="s">
        <v>245</v>
      </c>
      <c r="H383" s="2">
        <v>25</v>
      </c>
      <c r="I383" t="str">
        <f t="shared" si="13"/>
        <v>20 + Yrs</v>
      </c>
    </row>
    <row r="384" spans="2:9" x14ac:dyDescent="0.3">
      <c r="B384" s="2">
        <v>58</v>
      </c>
      <c r="C384" s="2" t="str">
        <f t="shared" si="12"/>
        <v>50+</v>
      </c>
      <c r="D384" s="2" t="s">
        <v>231</v>
      </c>
      <c r="E384" s="2" t="s">
        <v>237</v>
      </c>
      <c r="F384" s="2" t="s">
        <v>243</v>
      </c>
      <c r="G384" s="2" t="s">
        <v>246</v>
      </c>
      <c r="H384" s="2">
        <v>23</v>
      </c>
      <c r="I384" s="2" t="str">
        <f t="shared" si="13"/>
        <v>20 + Yrs</v>
      </c>
    </row>
    <row r="385" spans="2:9" x14ac:dyDescent="0.3">
      <c r="B385" s="2">
        <v>59</v>
      </c>
      <c r="C385" s="2" t="str">
        <f t="shared" si="12"/>
        <v>50+</v>
      </c>
      <c r="D385" s="2" t="s">
        <v>231</v>
      </c>
      <c r="E385" s="2" t="s">
        <v>233</v>
      </c>
      <c r="F385" s="2" t="s">
        <v>241</v>
      </c>
      <c r="G385" s="2" t="s">
        <v>246</v>
      </c>
      <c r="H385" s="2">
        <v>34</v>
      </c>
      <c r="I385" s="2" t="str">
        <f t="shared" si="13"/>
        <v>20 + Yrs</v>
      </c>
    </row>
    <row r="386" spans="2:9" hidden="1" x14ac:dyDescent="0.3">
      <c r="B386" s="6">
        <v>28</v>
      </c>
      <c r="C386" s="6" t="str">
        <f t="shared" si="12"/>
        <v>&lt;30</v>
      </c>
      <c r="D386" s="6" t="s">
        <v>231</v>
      </c>
      <c r="E386" s="6" t="s">
        <v>233</v>
      </c>
      <c r="F386" s="6" t="s">
        <v>243</v>
      </c>
      <c r="G386" s="6" t="s">
        <v>244</v>
      </c>
      <c r="H386" s="6">
        <v>4</v>
      </c>
      <c r="I386" t="str">
        <f t="shared" si="13"/>
        <v>0-4 Yrs</v>
      </c>
    </row>
    <row r="387" spans="2:9" hidden="1" x14ac:dyDescent="0.3">
      <c r="B387" s="2">
        <v>34</v>
      </c>
      <c r="C387" s="2" t="str">
        <f t="shared" si="12"/>
        <v>30-40</v>
      </c>
      <c r="D387" s="2" t="s">
        <v>231</v>
      </c>
      <c r="E387" s="2" t="s">
        <v>235</v>
      </c>
      <c r="F387" s="2" t="s">
        <v>242</v>
      </c>
      <c r="G387" s="2" t="s">
        <v>244</v>
      </c>
      <c r="H387" s="2">
        <v>19</v>
      </c>
      <c r="I387" t="str">
        <f t="shared" si="13"/>
        <v>11-20 Yrs</v>
      </c>
    </row>
    <row r="388" spans="2:9" hidden="1" x14ac:dyDescent="0.3">
      <c r="B388" s="2">
        <v>56</v>
      </c>
      <c r="C388" s="2" t="str">
        <f t="shared" si="12"/>
        <v>50+</v>
      </c>
      <c r="D388" s="2" t="s">
        <v>232</v>
      </c>
      <c r="E388" s="2" t="s">
        <v>235</v>
      </c>
      <c r="F388" s="2" t="s">
        <v>239</v>
      </c>
      <c r="G388" s="2" t="s">
        <v>244</v>
      </c>
      <c r="H388" s="2">
        <v>26</v>
      </c>
      <c r="I388" t="str">
        <f t="shared" si="13"/>
        <v>20 + Yrs</v>
      </c>
    </row>
    <row r="389" spans="2:9" hidden="1" x14ac:dyDescent="0.3">
      <c r="B389" s="2">
        <v>40</v>
      </c>
      <c r="C389" s="2" t="str">
        <f t="shared" ref="C389:C398" si="14">IF(B389&lt;30,"&lt;30",IF(B389&lt;=40,"30-40",IF(B389&lt;=50,"40-50",IF(B389&gt;50,"50+","Unknown"))))</f>
        <v>30-40</v>
      </c>
      <c r="D389" s="2" t="s">
        <v>231</v>
      </c>
      <c r="E389" s="2" t="s">
        <v>234</v>
      </c>
      <c r="F389" s="2" t="s">
        <v>242</v>
      </c>
      <c r="G389" s="2" t="s">
        <v>244</v>
      </c>
      <c r="H389" s="2">
        <v>23</v>
      </c>
      <c r="I389" t="str">
        <f t="shared" ref="I389:I398" si="15">IF(H389&lt;=4,"0-4 Yrs",IF(H389&lt;=10,"5-10 Yrs",IF(H389&lt;=20,"11-20 Yrs",IF(H389&gt;20,"20 + Yrs","Unknown"))))</f>
        <v>20 + Yrs</v>
      </c>
    </row>
    <row r="390" spans="2:9" x14ac:dyDescent="0.3">
      <c r="B390" s="2">
        <v>59</v>
      </c>
      <c r="C390" s="2" t="str">
        <f t="shared" si="14"/>
        <v>50+</v>
      </c>
      <c r="D390" s="2" t="s">
        <v>231</v>
      </c>
      <c r="E390" s="2" t="s">
        <v>235</v>
      </c>
      <c r="F390" s="2" t="s">
        <v>238</v>
      </c>
      <c r="G390" s="2" t="s">
        <v>246</v>
      </c>
      <c r="H390" s="2">
        <v>30</v>
      </c>
      <c r="I390" s="2" t="str">
        <f t="shared" si="15"/>
        <v>20 + Yrs</v>
      </c>
    </row>
    <row r="391" spans="2:9" x14ac:dyDescent="0.3">
      <c r="B391" s="2">
        <v>59</v>
      </c>
      <c r="C391" s="2" t="str">
        <f t="shared" si="14"/>
        <v>50+</v>
      </c>
      <c r="D391" s="2" t="s">
        <v>232</v>
      </c>
      <c r="E391" s="2" t="s">
        <v>234</v>
      </c>
      <c r="F391" s="2" t="s">
        <v>239</v>
      </c>
      <c r="G391" s="2" t="s">
        <v>246</v>
      </c>
      <c r="H391" s="2">
        <v>20</v>
      </c>
      <c r="I391" s="2" t="str">
        <f t="shared" si="15"/>
        <v>11-20 Yrs</v>
      </c>
    </row>
    <row r="392" spans="2:9" x14ac:dyDescent="0.3">
      <c r="B392" s="2">
        <v>60</v>
      </c>
      <c r="C392" s="2" t="str">
        <f t="shared" si="14"/>
        <v>50+</v>
      </c>
      <c r="D392" s="2" t="s">
        <v>231</v>
      </c>
      <c r="E392" s="2" t="s">
        <v>233</v>
      </c>
      <c r="F392" s="2" t="s">
        <v>240</v>
      </c>
      <c r="G392" s="2" t="s">
        <v>246</v>
      </c>
      <c r="H392" s="2">
        <v>33</v>
      </c>
      <c r="I392" s="2" t="str">
        <f t="shared" si="15"/>
        <v>20 + Yrs</v>
      </c>
    </row>
    <row r="393" spans="2:9" hidden="1" x14ac:dyDescent="0.3">
      <c r="B393" s="6">
        <v>58</v>
      </c>
      <c r="C393" s="6" t="str">
        <f t="shared" si="14"/>
        <v>50+</v>
      </c>
      <c r="D393" s="6" t="s">
        <v>231</v>
      </c>
      <c r="E393" s="6" t="s">
        <v>236</v>
      </c>
      <c r="F393" s="6" t="s">
        <v>241</v>
      </c>
      <c r="G393" s="6" t="s">
        <v>245</v>
      </c>
      <c r="H393" s="6">
        <v>11</v>
      </c>
      <c r="I393" t="str">
        <f t="shared" si="15"/>
        <v>11-20 Yrs</v>
      </c>
    </row>
    <row r="394" spans="2:9" x14ac:dyDescent="0.3">
      <c r="B394" s="2">
        <v>60</v>
      </c>
      <c r="C394" s="2" t="str">
        <f t="shared" si="14"/>
        <v>50+</v>
      </c>
      <c r="D394" s="2" t="s">
        <v>231</v>
      </c>
      <c r="E394" s="2" t="s">
        <v>237</v>
      </c>
      <c r="F394" s="2" t="s">
        <v>242</v>
      </c>
      <c r="G394" s="2" t="s">
        <v>246</v>
      </c>
      <c r="H394" s="2">
        <v>15</v>
      </c>
      <c r="I394" s="2" t="str">
        <f t="shared" si="15"/>
        <v>11-20 Yrs</v>
      </c>
    </row>
    <row r="395" spans="2:9" x14ac:dyDescent="0.3">
      <c r="B395" s="2">
        <v>60</v>
      </c>
      <c r="C395" s="2" t="str">
        <f t="shared" si="14"/>
        <v>50+</v>
      </c>
      <c r="D395" s="2" t="s">
        <v>231</v>
      </c>
      <c r="E395" s="2" t="s">
        <v>236</v>
      </c>
      <c r="F395" s="2" t="s">
        <v>239</v>
      </c>
      <c r="G395" s="2" t="s">
        <v>246</v>
      </c>
      <c r="H395" s="2">
        <v>15</v>
      </c>
      <c r="I395" s="2" t="str">
        <f t="shared" si="15"/>
        <v>11-20 Yrs</v>
      </c>
    </row>
    <row r="396" spans="2:9" hidden="1" x14ac:dyDescent="0.3">
      <c r="B396" s="6">
        <v>27</v>
      </c>
      <c r="C396" s="6" t="str">
        <f t="shared" si="14"/>
        <v>&lt;30</v>
      </c>
      <c r="D396" s="6" t="s">
        <v>231</v>
      </c>
      <c r="E396" s="6" t="s">
        <v>234</v>
      </c>
      <c r="F396" s="6" t="s">
        <v>238</v>
      </c>
      <c r="G396" s="6" t="s">
        <v>245</v>
      </c>
      <c r="H396" s="6">
        <v>15</v>
      </c>
      <c r="I396" t="str">
        <f t="shared" si="15"/>
        <v>11-20 Yrs</v>
      </c>
    </row>
    <row r="397" spans="2:9" x14ac:dyDescent="0.3">
      <c r="B397" s="2">
        <v>60</v>
      </c>
      <c r="C397" s="2" t="str">
        <f t="shared" si="14"/>
        <v>50+</v>
      </c>
      <c r="D397" s="2" t="s">
        <v>232</v>
      </c>
      <c r="E397" s="2" t="s">
        <v>237</v>
      </c>
      <c r="F397" s="2" t="s">
        <v>238</v>
      </c>
      <c r="G397" s="2" t="s">
        <v>246</v>
      </c>
      <c r="H397" s="2">
        <v>29</v>
      </c>
      <c r="I397" s="2" t="str">
        <f t="shared" si="15"/>
        <v>20 + Yrs</v>
      </c>
    </row>
    <row r="398" spans="2:9" x14ac:dyDescent="0.3">
      <c r="B398" s="2">
        <v>60</v>
      </c>
      <c r="C398" s="2" t="str">
        <f t="shared" si="14"/>
        <v>50+</v>
      </c>
      <c r="D398" s="2" t="s">
        <v>231</v>
      </c>
      <c r="E398" s="2" t="s">
        <v>236</v>
      </c>
      <c r="F398" s="2" t="s">
        <v>238</v>
      </c>
      <c r="G398" s="2" t="s">
        <v>246</v>
      </c>
      <c r="H398" s="2">
        <v>17</v>
      </c>
      <c r="I398" s="2" t="str">
        <f t="shared" si="15"/>
        <v>11-20 Yrs</v>
      </c>
    </row>
    <row r="399" spans="2:9" hidden="1" x14ac:dyDescent="0.3">
      <c r="B399" s="6">
        <v>28</v>
      </c>
      <c r="C399" s="6" t="str">
        <f t="shared" ref="C399:C401" si="16">IF(B399&lt;30,"&lt;30",IF(B399&lt;=40,"30-40",IF(B399&lt;=50,"40-50",IF(B399&gt;50,"50+","Unknown"))))</f>
        <v>&lt;30</v>
      </c>
      <c r="D399" s="6" t="s">
        <v>231</v>
      </c>
      <c r="E399" s="6" t="s">
        <v>234</v>
      </c>
      <c r="F399" s="6" t="s">
        <v>242</v>
      </c>
      <c r="G399" s="6" t="s">
        <v>244</v>
      </c>
      <c r="H399" s="6">
        <v>30</v>
      </c>
      <c r="I399" t="str">
        <f t="shared" ref="I399:I401" si="17">IF(H399&lt;=4,"0-4 Yrs",IF(H399&lt;=10,"5-10 Yrs",IF(H399&lt;=20,"11-20 Yrs",IF(H399&gt;20,"20 + Yrs","Unknown"))))</f>
        <v>20 + Yrs</v>
      </c>
    </row>
    <row r="400" spans="2:9" hidden="1" x14ac:dyDescent="0.3">
      <c r="B400" s="2">
        <v>40</v>
      </c>
      <c r="C400" s="2" t="str">
        <f t="shared" si="16"/>
        <v>30-40</v>
      </c>
      <c r="D400" s="2" t="s">
        <v>232</v>
      </c>
      <c r="E400" s="2" t="s">
        <v>236</v>
      </c>
      <c r="F400" s="2" t="s">
        <v>239</v>
      </c>
      <c r="G400" s="2" t="s">
        <v>245</v>
      </c>
      <c r="H400" s="2">
        <v>24</v>
      </c>
      <c r="I400" t="str">
        <f t="shared" si="17"/>
        <v>20 + Yrs</v>
      </c>
    </row>
    <row r="401" spans="2:9" hidden="1" x14ac:dyDescent="0.3">
      <c r="B401" s="2">
        <v>57</v>
      </c>
      <c r="C401" s="2" t="str">
        <f t="shared" si="16"/>
        <v>50+</v>
      </c>
      <c r="D401" s="2" t="s">
        <v>231</v>
      </c>
      <c r="E401" s="2" t="s">
        <v>235</v>
      </c>
      <c r="F401" s="2" t="s">
        <v>241</v>
      </c>
      <c r="G401" s="2" t="s">
        <v>244</v>
      </c>
      <c r="H401" s="2">
        <v>25</v>
      </c>
      <c r="I401" t="str">
        <f t="shared" si="17"/>
        <v>20 + Yrs</v>
      </c>
    </row>
  </sheetData>
  <autoFilter ref="B1:I401" xr:uid="{B8BFA10A-2493-4ED6-86C6-78620CEBA556}">
    <filterColumn colId="5">
      <filters>
        <filter val="Divorced"/>
      </filters>
    </filterColumn>
    <sortState xmlns:xlrd2="http://schemas.microsoft.com/office/spreadsheetml/2017/richdata2" ref="B5:I398">
      <sortCondition ref="B1:B401"/>
    </sortState>
  </autoFilter>
  <conditionalFormatting sqref="A1:A1048318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FBE4-0528-42F4-95F4-1DE0ED8E67DE}">
  <dimension ref="A1:E401"/>
  <sheetViews>
    <sheetView tabSelected="1" workbookViewId="0">
      <selection activeCell="H16" sqref="H16"/>
    </sheetView>
  </sheetViews>
  <sheetFormatPr defaultRowHeight="14.4" x14ac:dyDescent="0.3"/>
  <cols>
    <col min="1" max="1" width="24.33203125" bestFit="1" customWidth="1"/>
    <col min="2" max="2" width="21.88671875" customWidth="1"/>
    <col min="3" max="4" width="17.5546875" bestFit="1" customWidth="1"/>
    <col min="5" max="5" width="17.21875" bestFit="1" customWidth="1"/>
  </cols>
  <sheetData>
    <row r="1" spans="1:5" ht="61.2" customHeight="1" x14ac:dyDescent="0.3">
      <c r="A1" s="3" t="s">
        <v>2</v>
      </c>
      <c r="B1" s="9" t="s">
        <v>25</v>
      </c>
      <c r="C1" s="11" t="s">
        <v>1134</v>
      </c>
      <c r="D1" s="11" t="s">
        <v>1133</v>
      </c>
      <c r="E1" s="12" t="s">
        <v>1135</v>
      </c>
    </row>
    <row r="2" spans="1:5" x14ac:dyDescent="0.3">
      <c r="A2" s="2" t="s">
        <v>938</v>
      </c>
      <c r="B2" s="2" t="s">
        <v>313</v>
      </c>
      <c r="C2" s="2" t="s">
        <v>313</v>
      </c>
      <c r="D2" s="2" cm="1">
        <f t="array" ref="D2">IF(C2="Excellent",4,IF(C2="Good",3,IF(C2="Average",2,IF(C2="Poor",1,Unknown))))</f>
        <v>2</v>
      </c>
      <c r="E2" s="2" t="str">
        <f>IF(OR(C2="Average",C2="Poor"),"Nuetral/Negative","Positive")</f>
        <v>Nuetral/Negative</v>
      </c>
    </row>
    <row r="3" spans="1:5" x14ac:dyDescent="0.3">
      <c r="A3" s="2" t="s">
        <v>836</v>
      </c>
      <c r="B3" s="2" t="s">
        <v>313</v>
      </c>
      <c r="C3" s="2" t="s">
        <v>313</v>
      </c>
      <c r="D3" s="2" cm="1">
        <f t="array" ref="D3">IF(C3="Excellent",4,IF(C3="Good",3,IF(C3="Average",2,IF(C3="Poor",1,Unknown))))</f>
        <v>2</v>
      </c>
      <c r="E3" s="2" t="str">
        <f t="shared" ref="E3:E66" si="0">IF(OR(C3="Average",C3="Poor"),"Nuetral/Negative","Positive")</f>
        <v>Nuetral/Negative</v>
      </c>
    </row>
    <row r="4" spans="1:5" x14ac:dyDescent="0.3">
      <c r="A4" s="2" t="s">
        <v>859</v>
      </c>
      <c r="B4" s="2" t="s">
        <v>313</v>
      </c>
      <c r="C4" s="2" t="s">
        <v>313</v>
      </c>
      <c r="D4" s="2" cm="1">
        <f t="array" ref="D4">IF(C4="Excellent",4,IF(C4="Good",3,IF(C4="Average",2,IF(C4="Poor",1,Unknown))))</f>
        <v>2</v>
      </c>
      <c r="E4" s="2" t="str">
        <f t="shared" si="0"/>
        <v>Nuetral/Negative</v>
      </c>
    </row>
    <row r="5" spans="1:5" x14ac:dyDescent="0.3">
      <c r="A5" s="2" t="s">
        <v>807</v>
      </c>
      <c r="B5" s="2" t="s">
        <v>313</v>
      </c>
      <c r="C5" s="2" t="s">
        <v>313</v>
      </c>
      <c r="D5" s="2" cm="1">
        <f t="array" ref="D5">IF(C5="Excellent",4,IF(C5="Good",3,IF(C5="Average",2,IF(C5="Poor",1,Unknown))))</f>
        <v>2</v>
      </c>
      <c r="E5" s="2" t="str">
        <f t="shared" si="0"/>
        <v>Nuetral/Negative</v>
      </c>
    </row>
    <row r="6" spans="1:5" x14ac:dyDescent="0.3">
      <c r="A6" s="2" t="s">
        <v>726</v>
      </c>
      <c r="B6" s="2" t="s">
        <v>313</v>
      </c>
      <c r="C6" s="2" t="s">
        <v>313</v>
      </c>
      <c r="D6" s="2" cm="1">
        <f t="array" ref="D6">IF(C6="Excellent",4,IF(C6="Good",3,IF(C6="Average",2,IF(C6="Poor",1,Unknown))))</f>
        <v>2</v>
      </c>
      <c r="E6" s="2" t="str">
        <f t="shared" si="0"/>
        <v>Nuetral/Negative</v>
      </c>
    </row>
    <row r="7" spans="1:5" x14ac:dyDescent="0.3">
      <c r="A7" s="2" t="s">
        <v>134</v>
      </c>
      <c r="B7" s="2" t="s">
        <v>313</v>
      </c>
      <c r="C7" s="2" t="s">
        <v>313</v>
      </c>
      <c r="D7" s="2" cm="1">
        <f t="array" ref="D7">IF(C7="Excellent",4,IF(C7="Good",3,IF(C7="Average",2,IF(C7="Poor",1,Unknown))))</f>
        <v>2</v>
      </c>
      <c r="E7" s="2" t="str">
        <f t="shared" si="0"/>
        <v>Nuetral/Negative</v>
      </c>
    </row>
    <row r="8" spans="1:5" x14ac:dyDescent="0.3">
      <c r="A8" s="2" t="s">
        <v>890</v>
      </c>
      <c r="B8" s="2" t="s">
        <v>313</v>
      </c>
      <c r="C8" s="2" t="s">
        <v>313</v>
      </c>
      <c r="D8" s="2" cm="1">
        <f t="array" ref="D8">IF(C8="Excellent",4,IF(C8="Good",3,IF(C8="Average",2,IF(C8="Poor",1,Unknown))))</f>
        <v>2</v>
      </c>
      <c r="E8" s="2" t="str">
        <f t="shared" si="0"/>
        <v>Nuetral/Negative</v>
      </c>
    </row>
    <row r="9" spans="1:5" x14ac:dyDescent="0.3">
      <c r="A9" s="2" t="s">
        <v>808</v>
      </c>
      <c r="B9" s="2" t="s">
        <v>313</v>
      </c>
      <c r="C9" s="2" t="s">
        <v>313</v>
      </c>
      <c r="D9" s="2" cm="1">
        <f t="array" ref="D9">IF(C9="Excellent",4,IF(C9="Good",3,IF(C9="Average",2,IF(C9="Poor",1,Unknown))))</f>
        <v>2</v>
      </c>
      <c r="E9" s="2" t="str">
        <f t="shared" si="0"/>
        <v>Nuetral/Negative</v>
      </c>
    </row>
    <row r="10" spans="1:5" x14ac:dyDescent="0.3">
      <c r="A10" s="2" t="s">
        <v>714</v>
      </c>
      <c r="B10" s="2" t="s">
        <v>313</v>
      </c>
      <c r="C10" s="2" t="s">
        <v>313</v>
      </c>
      <c r="D10" s="2" cm="1">
        <f t="array" ref="D10">IF(C10="Excellent",4,IF(C10="Good",3,IF(C10="Average",2,IF(C10="Poor",1,Unknown))))</f>
        <v>2</v>
      </c>
      <c r="E10" s="2" t="str">
        <f t="shared" si="0"/>
        <v>Nuetral/Negative</v>
      </c>
    </row>
    <row r="11" spans="1:5" x14ac:dyDescent="0.3">
      <c r="A11" s="2" t="s">
        <v>1109</v>
      </c>
      <c r="B11" s="2" t="s">
        <v>313</v>
      </c>
      <c r="C11" s="2" t="s">
        <v>313</v>
      </c>
      <c r="D11" s="2" cm="1">
        <f t="array" ref="D11">IF(C11="Excellent",4,IF(C11="Good",3,IF(C11="Average",2,IF(C11="Poor",1,Unknown))))</f>
        <v>2</v>
      </c>
      <c r="E11" s="2" t="str">
        <f t="shared" si="0"/>
        <v>Nuetral/Negative</v>
      </c>
    </row>
    <row r="12" spans="1:5" x14ac:dyDescent="0.3">
      <c r="A12" s="2" t="s">
        <v>851</v>
      </c>
      <c r="B12" s="2" t="s">
        <v>313</v>
      </c>
      <c r="C12" s="2" t="s">
        <v>313</v>
      </c>
      <c r="D12" s="2" cm="1">
        <f t="array" ref="D12">IF(C12="Excellent",4,IF(C12="Good",3,IF(C12="Average",2,IF(C12="Poor",1,Unknown))))</f>
        <v>2</v>
      </c>
      <c r="E12" s="2" t="str">
        <f t="shared" si="0"/>
        <v>Nuetral/Negative</v>
      </c>
    </row>
    <row r="13" spans="1:5" x14ac:dyDescent="0.3">
      <c r="A13" s="2" t="s">
        <v>735</v>
      </c>
      <c r="B13" s="2" t="s">
        <v>313</v>
      </c>
      <c r="C13" s="2" t="s">
        <v>313</v>
      </c>
      <c r="D13" s="2" cm="1">
        <f t="array" ref="D13">IF(C13="Excellent",4,IF(C13="Good",3,IF(C13="Average",2,IF(C13="Poor",1,Unknown))))</f>
        <v>2</v>
      </c>
      <c r="E13" s="2" t="str">
        <f t="shared" si="0"/>
        <v>Nuetral/Negative</v>
      </c>
    </row>
    <row r="14" spans="1:5" x14ac:dyDescent="0.3">
      <c r="A14" s="2" t="s">
        <v>150</v>
      </c>
      <c r="B14" s="2" t="s">
        <v>313</v>
      </c>
      <c r="C14" s="2" t="s">
        <v>313</v>
      </c>
      <c r="D14" s="2" cm="1">
        <f t="array" ref="D14">IF(C14="Excellent",4,IF(C14="Good",3,IF(C14="Average",2,IF(C14="Poor",1,Unknown))))</f>
        <v>2</v>
      </c>
      <c r="E14" s="2" t="str">
        <f t="shared" si="0"/>
        <v>Nuetral/Negative</v>
      </c>
    </row>
    <row r="15" spans="1:5" x14ac:dyDescent="0.3">
      <c r="A15" s="2" t="s">
        <v>720</v>
      </c>
      <c r="B15" s="2" t="s">
        <v>313</v>
      </c>
      <c r="C15" s="2" t="s">
        <v>313</v>
      </c>
      <c r="D15" s="2" cm="1">
        <f t="array" ref="D15">IF(C15="Excellent",4,IF(C15="Good",3,IF(C15="Average",2,IF(C15="Poor",1,Unknown))))</f>
        <v>2</v>
      </c>
      <c r="E15" s="2" t="str">
        <f t="shared" si="0"/>
        <v>Nuetral/Negative</v>
      </c>
    </row>
    <row r="16" spans="1:5" x14ac:dyDescent="0.3">
      <c r="A16" s="2" t="s">
        <v>913</v>
      </c>
      <c r="B16" s="2" t="s">
        <v>313</v>
      </c>
      <c r="C16" s="2" t="s">
        <v>313</v>
      </c>
      <c r="D16" s="2" cm="1">
        <f t="array" ref="D16">IF(C16="Excellent",4,IF(C16="Good",3,IF(C16="Average",2,IF(C16="Poor",1,Unknown))))</f>
        <v>2</v>
      </c>
      <c r="E16" s="2" t="str">
        <f t="shared" si="0"/>
        <v>Nuetral/Negative</v>
      </c>
    </row>
    <row r="17" spans="1:5" x14ac:dyDescent="0.3">
      <c r="A17" s="2" t="s">
        <v>858</v>
      </c>
      <c r="B17" s="2" t="s">
        <v>313</v>
      </c>
      <c r="C17" s="2" t="s">
        <v>313</v>
      </c>
      <c r="D17" s="2" cm="1">
        <f t="array" ref="D17">IF(C17="Excellent",4,IF(C17="Good",3,IF(C17="Average",2,IF(C17="Poor",1,Unknown))))</f>
        <v>2</v>
      </c>
      <c r="E17" s="2" t="str">
        <f t="shared" si="0"/>
        <v>Nuetral/Negative</v>
      </c>
    </row>
    <row r="18" spans="1:5" x14ac:dyDescent="0.3">
      <c r="A18" s="2" t="s">
        <v>781</v>
      </c>
      <c r="B18" s="2" t="s">
        <v>313</v>
      </c>
      <c r="C18" s="2" t="s">
        <v>313</v>
      </c>
      <c r="D18" s="2" cm="1">
        <f t="array" ref="D18">IF(C18="Excellent",4,IF(C18="Good",3,IF(C18="Average",2,IF(C18="Poor",1,Unknown))))</f>
        <v>2</v>
      </c>
      <c r="E18" s="2" t="str">
        <f t="shared" si="0"/>
        <v>Nuetral/Negative</v>
      </c>
    </row>
    <row r="19" spans="1:5" x14ac:dyDescent="0.3">
      <c r="A19" s="2" t="s">
        <v>777</v>
      </c>
      <c r="B19" s="2" t="s">
        <v>313</v>
      </c>
      <c r="C19" s="2" t="s">
        <v>313</v>
      </c>
      <c r="D19" s="2" cm="1">
        <f t="array" ref="D19">IF(C19="Excellent",4,IF(C19="Good",3,IF(C19="Average",2,IF(C19="Poor",1,Unknown))))</f>
        <v>2</v>
      </c>
      <c r="E19" s="2" t="str">
        <f t="shared" si="0"/>
        <v>Nuetral/Negative</v>
      </c>
    </row>
    <row r="20" spans="1:5" x14ac:dyDescent="0.3">
      <c r="A20" s="2" t="s">
        <v>154</v>
      </c>
      <c r="B20" s="2" t="s">
        <v>313</v>
      </c>
      <c r="C20" s="2" t="s">
        <v>313</v>
      </c>
      <c r="D20" s="2" cm="1">
        <f t="array" ref="D20">IF(C20="Excellent",4,IF(C20="Good",3,IF(C20="Average",2,IF(C20="Poor",1,Unknown))))</f>
        <v>2</v>
      </c>
      <c r="E20" s="2" t="str">
        <f t="shared" si="0"/>
        <v>Nuetral/Negative</v>
      </c>
    </row>
    <row r="21" spans="1:5" x14ac:dyDescent="0.3">
      <c r="A21" s="2" t="s">
        <v>739</v>
      </c>
      <c r="B21" s="2" t="s">
        <v>313</v>
      </c>
      <c r="C21" s="2" t="s">
        <v>313</v>
      </c>
      <c r="D21" s="2" cm="1">
        <f t="array" ref="D21">IF(C21="Excellent",4,IF(C21="Good",3,IF(C21="Average",2,IF(C21="Poor",1,Unknown))))</f>
        <v>2</v>
      </c>
      <c r="E21" s="2" t="str">
        <f t="shared" si="0"/>
        <v>Nuetral/Negative</v>
      </c>
    </row>
    <row r="22" spans="1:5" x14ac:dyDescent="0.3">
      <c r="A22" s="2" t="s">
        <v>773</v>
      </c>
      <c r="B22" s="2" t="s">
        <v>313</v>
      </c>
      <c r="C22" s="2" t="s">
        <v>313</v>
      </c>
      <c r="D22" s="2" cm="1">
        <f t="array" ref="D22">IF(C22="Excellent",4,IF(C22="Good",3,IF(C22="Average",2,IF(C22="Poor",1,Unknown))))</f>
        <v>2</v>
      </c>
      <c r="E22" s="2" t="str">
        <f t="shared" si="0"/>
        <v>Nuetral/Negative</v>
      </c>
    </row>
    <row r="23" spans="1:5" x14ac:dyDescent="0.3">
      <c r="A23" s="2" t="s">
        <v>789</v>
      </c>
      <c r="B23" s="2" t="s">
        <v>313</v>
      </c>
      <c r="C23" s="2" t="s">
        <v>313</v>
      </c>
      <c r="D23" s="2" cm="1">
        <f t="array" ref="D23">IF(C23="Excellent",4,IF(C23="Good",3,IF(C23="Average",2,IF(C23="Poor",1,Unknown))))</f>
        <v>2</v>
      </c>
      <c r="E23" s="2" t="str">
        <f t="shared" si="0"/>
        <v>Nuetral/Negative</v>
      </c>
    </row>
    <row r="24" spans="1:5" x14ac:dyDescent="0.3">
      <c r="A24" s="2" t="s">
        <v>190</v>
      </c>
      <c r="B24" s="2" t="s">
        <v>313</v>
      </c>
      <c r="C24" s="2" t="s">
        <v>313</v>
      </c>
      <c r="D24" s="2" cm="1">
        <f t="array" ref="D24">IF(C24="Excellent",4,IF(C24="Good",3,IF(C24="Average",2,IF(C24="Poor",1,Unknown))))</f>
        <v>2</v>
      </c>
      <c r="E24" s="2" t="str">
        <f t="shared" si="0"/>
        <v>Nuetral/Negative</v>
      </c>
    </row>
    <row r="25" spans="1:5" x14ac:dyDescent="0.3">
      <c r="A25" s="2" t="s">
        <v>1111</v>
      </c>
      <c r="B25" s="2" t="s">
        <v>313</v>
      </c>
      <c r="C25" s="2" t="s">
        <v>313</v>
      </c>
      <c r="D25" s="2" cm="1">
        <f t="array" ref="D25">IF(C25="Excellent",4,IF(C25="Good",3,IF(C25="Average",2,IF(C25="Poor",1,Unknown))))</f>
        <v>2</v>
      </c>
      <c r="E25" s="2" t="str">
        <f t="shared" si="0"/>
        <v>Nuetral/Negative</v>
      </c>
    </row>
    <row r="26" spans="1:5" x14ac:dyDescent="0.3">
      <c r="A26" s="2" t="s">
        <v>194</v>
      </c>
      <c r="B26" s="2" t="s">
        <v>313</v>
      </c>
      <c r="C26" s="2" t="s">
        <v>313</v>
      </c>
      <c r="D26" s="2" cm="1">
        <f t="array" ref="D26">IF(C26="Excellent",4,IF(C26="Good",3,IF(C26="Average",2,IF(C26="Poor",1,Unknown))))</f>
        <v>2</v>
      </c>
      <c r="E26" s="2" t="str">
        <f t="shared" si="0"/>
        <v>Nuetral/Negative</v>
      </c>
    </row>
    <row r="27" spans="1:5" x14ac:dyDescent="0.3">
      <c r="A27" s="2" t="s">
        <v>906</v>
      </c>
      <c r="B27" s="2" t="s">
        <v>313</v>
      </c>
      <c r="C27" s="2" t="s">
        <v>313</v>
      </c>
      <c r="D27" s="2" cm="1">
        <f t="array" ref="D27">IF(C27="Excellent",4,IF(C27="Good",3,IF(C27="Average",2,IF(C27="Poor",1,Unknown))))</f>
        <v>2</v>
      </c>
      <c r="E27" s="2" t="str">
        <f t="shared" si="0"/>
        <v>Nuetral/Negative</v>
      </c>
    </row>
    <row r="28" spans="1:5" x14ac:dyDescent="0.3">
      <c r="A28" s="2" t="s">
        <v>933</v>
      </c>
      <c r="B28" s="2" t="s">
        <v>313</v>
      </c>
      <c r="C28" s="2" t="s">
        <v>313</v>
      </c>
      <c r="D28" s="2" cm="1">
        <f t="array" ref="D28">IF(C28="Excellent",4,IF(C28="Good",3,IF(C28="Average",2,IF(C28="Poor",1,Unknown))))</f>
        <v>2</v>
      </c>
      <c r="E28" s="2" t="str">
        <f t="shared" si="0"/>
        <v>Nuetral/Negative</v>
      </c>
    </row>
    <row r="29" spans="1:5" x14ac:dyDescent="0.3">
      <c r="A29" s="2" t="s">
        <v>922</v>
      </c>
      <c r="B29" s="2" t="s">
        <v>313</v>
      </c>
      <c r="C29" s="2" t="s">
        <v>313</v>
      </c>
      <c r="D29" s="2" cm="1">
        <f t="array" ref="D29">IF(C29="Excellent",4,IF(C29="Good",3,IF(C29="Average",2,IF(C29="Poor",1,Unknown))))</f>
        <v>2</v>
      </c>
      <c r="E29" s="2" t="str">
        <f t="shared" si="0"/>
        <v>Nuetral/Negative</v>
      </c>
    </row>
    <row r="30" spans="1:5" x14ac:dyDescent="0.3">
      <c r="A30" s="2" t="s">
        <v>183</v>
      </c>
      <c r="B30" s="2" t="s">
        <v>313</v>
      </c>
      <c r="C30" s="2" t="s">
        <v>313</v>
      </c>
      <c r="D30" s="2" cm="1">
        <f t="array" ref="D30">IF(C30="Excellent",4,IF(C30="Good",3,IF(C30="Average",2,IF(C30="Poor",1,Unknown))))</f>
        <v>2</v>
      </c>
      <c r="E30" s="2" t="str">
        <f t="shared" si="0"/>
        <v>Nuetral/Negative</v>
      </c>
    </row>
    <row r="31" spans="1:5" x14ac:dyDescent="0.3">
      <c r="A31" s="2" t="s">
        <v>854</v>
      </c>
      <c r="B31" s="2" t="s">
        <v>313</v>
      </c>
      <c r="C31" s="2" t="s">
        <v>313</v>
      </c>
      <c r="D31" s="2" cm="1">
        <f t="array" ref="D31">IF(C31="Excellent",4,IF(C31="Good",3,IF(C31="Average",2,IF(C31="Poor",1,Unknown))))</f>
        <v>2</v>
      </c>
      <c r="E31" s="2" t="str">
        <f t="shared" si="0"/>
        <v>Nuetral/Negative</v>
      </c>
    </row>
    <row r="32" spans="1:5" x14ac:dyDescent="0.3">
      <c r="A32" s="2" t="s">
        <v>930</v>
      </c>
      <c r="B32" s="2" t="s">
        <v>313</v>
      </c>
      <c r="C32" s="2" t="s">
        <v>313</v>
      </c>
      <c r="D32" s="2" cm="1">
        <f t="array" ref="D32">IF(C32="Excellent",4,IF(C32="Good",3,IF(C32="Average",2,IF(C32="Poor",1,Unknown))))</f>
        <v>2</v>
      </c>
      <c r="E32" s="2" t="str">
        <f t="shared" si="0"/>
        <v>Nuetral/Negative</v>
      </c>
    </row>
    <row r="33" spans="1:5" x14ac:dyDescent="0.3">
      <c r="A33" s="2" t="s">
        <v>230</v>
      </c>
      <c r="B33" s="2" t="s">
        <v>313</v>
      </c>
      <c r="C33" s="2" t="s">
        <v>313</v>
      </c>
      <c r="D33" s="2" cm="1">
        <f t="array" ref="D33">IF(C33="Excellent",4,IF(C33="Good",3,IF(C33="Average",2,IF(C33="Poor",1,Unknown))))</f>
        <v>2</v>
      </c>
      <c r="E33" s="2" t="str">
        <f t="shared" si="0"/>
        <v>Nuetral/Negative</v>
      </c>
    </row>
    <row r="34" spans="1:5" x14ac:dyDescent="0.3">
      <c r="A34" s="2" t="s">
        <v>215</v>
      </c>
      <c r="B34" s="2" t="s">
        <v>313</v>
      </c>
      <c r="C34" s="2" t="s">
        <v>313</v>
      </c>
      <c r="D34" s="2" cm="1">
        <f t="array" ref="D34">IF(C34="Excellent",4,IF(C34="Good",3,IF(C34="Average",2,IF(C34="Poor",1,Unknown))))</f>
        <v>2</v>
      </c>
      <c r="E34" s="2" t="str">
        <f t="shared" si="0"/>
        <v>Nuetral/Negative</v>
      </c>
    </row>
    <row r="35" spans="1:5" x14ac:dyDescent="0.3">
      <c r="A35" s="2" t="s">
        <v>188</v>
      </c>
      <c r="B35" s="2" t="s">
        <v>313</v>
      </c>
      <c r="C35" s="2" t="s">
        <v>313</v>
      </c>
      <c r="D35" s="2" cm="1">
        <f t="array" ref="D35">IF(C35="Excellent",4,IF(C35="Good",3,IF(C35="Average",2,IF(C35="Poor",1,Unknown))))</f>
        <v>2</v>
      </c>
      <c r="E35" s="2" t="str">
        <f t="shared" si="0"/>
        <v>Nuetral/Negative</v>
      </c>
    </row>
    <row r="36" spans="1:5" x14ac:dyDescent="0.3">
      <c r="A36" s="2" t="s">
        <v>897</v>
      </c>
      <c r="B36" s="2" t="s">
        <v>313</v>
      </c>
      <c r="C36" s="2" t="s">
        <v>313</v>
      </c>
      <c r="D36" s="2" cm="1">
        <f t="array" ref="D36">IF(C36="Excellent",4,IF(C36="Good",3,IF(C36="Average",2,IF(C36="Poor",1,Unknown))))</f>
        <v>2</v>
      </c>
      <c r="E36" s="2" t="str">
        <f t="shared" si="0"/>
        <v>Nuetral/Negative</v>
      </c>
    </row>
    <row r="37" spans="1:5" x14ac:dyDescent="0.3">
      <c r="A37" s="2" t="s">
        <v>817</v>
      </c>
      <c r="B37" s="2" t="s">
        <v>313</v>
      </c>
      <c r="C37" s="2" t="s">
        <v>313</v>
      </c>
      <c r="D37" s="2" cm="1">
        <f t="array" ref="D37">IF(C37="Excellent",4,IF(C37="Good",3,IF(C37="Average",2,IF(C37="Poor",1,Unknown))))</f>
        <v>2</v>
      </c>
      <c r="E37" s="2" t="str">
        <f t="shared" si="0"/>
        <v>Nuetral/Negative</v>
      </c>
    </row>
    <row r="38" spans="1:5" x14ac:dyDescent="0.3">
      <c r="A38" s="2" t="s">
        <v>939</v>
      </c>
      <c r="B38" s="2" t="s">
        <v>313</v>
      </c>
      <c r="C38" s="2" t="s">
        <v>313</v>
      </c>
      <c r="D38" s="2" cm="1">
        <f t="array" ref="D38">IF(C38="Excellent",4,IF(C38="Good",3,IF(C38="Average",2,IF(C38="Poor",1,Unknown))))</f>
        <v>2</v>
      </c>
      <c r="E38" s="2" t="str">
        <f t="shared" si="0"/>
        <v>Nuetral/Negative</v>
      </c>
    </row>
    <row r="39" spans="1:5" x14ac:dyDescent="0.3">
      <c r="A39" s="2" t="s">
        <v>772</v>
      </c>
      <c r="B39" s="2" t="s">
        <v>313</v>
      </c>
      <c r="C39" s="2" t="s">
        <v>313</v>
      </c>
      <c r="D39" s="2" cm="1">
        <f t="array" ref="D39">IF(C39="Excellent",4,IF(C39="Good",3,IF(C39="Average",2,IF(C39="Poor",1,Unknown))))</f>
        <v>2</v>
      </c>
      <c r="E39" s="2" t="str">
        <f t="shared" si="0"/>
        <v>Nuetral/Negative</v>
      </c>
    </row>
    <row r="40" spans="1:5" x14ac:dyDescent="0.3">
      <c r="A40" s="2" t="s">
        <v>209</v>
      </c>
      <c r="B40" s="2" t="s">
        <v>313</v>
      </c>
      <c r="C40" s="2" t="s">
        <v>313</v>
      </c>
      <c r="D40" s="2" cm="1">
        <f t="array" ref="D40">IF(C40="Excellent",4,IF(C40="Good",3,IF(C40="Average",2,IF(C40="Poor",1,Unknown))))</f>
        <v>2</v>
      </c>
      <c r="E40" s="2" t="str">
        <f t="shared" si="0"/>
        <v>Nuetral/Negative</v>
      </c>
    </row>
    <row r="41" spans="1:5" x14ac:dyDescent="0.3">
      <c r="A41" s="2" t="s">
        <v>670</v>
      </c>
      <c r="B41" s="2" t="s">
        <v>313</v>
      </c>
      <c r="C41" s="2" t="s">
        <v>313</v>
      </c>
      <c r="D41" s="2" cm="1">
        <f t="array" ref="D41">IF(C41="Excellent",4,IF(C41="Good",3,IF(C41="Average",2,IF(C41="Poor",1,Unknown))))</f>
        <v>2</v>
      </c>
      <c r="E41" s="2" t="str">
        <f t="shared" si="0"/>
        <v>Nuetral/Negative</v>
      </c>
    </row>
    <row r="42" spans="1:5" x14ac:dyDescent="0.3">
      <c r="A42" s="2" t="s">
        <v>740</v>
      </c>
      <c r="B42" s="2" t="s">
        <v>313</v>
      </c>
      <c r="C42" s="2" t="s">
        <v>313</v>
      </c>
      <c r="D42" s="2" cm="1">
        <f t="array" ref="D42">IF(C42="Excellent",4,IF(C42="Good",3,IF(C42="Average",2,IF(C42="Poor",1,Unknown))))</f>
        <v>2</v>
      </c>
      <c r="E42" s="2" t="str">
        <f t="shared" si="0"/>
        <v>Nuetral/Negative</v>
      </c>
    </row>
    <row r="43" spans="1:5" x14ac:dyDescent="0.3">
      <c r="A43" s="2" t="s">
        <v>935</v>
      </c>
      <c r="B43" s="2" t="s">
        <v>313</v>
      </c>
      <c r="C43" s="2" t="s">
        <v>313</v>
      </c>
      <c r="D43" s="2" cm="1">
        <f t="array" ref="D43">IF(C43="Excellent",4,IF(C43="Good",3,IF(C43="Average",2,IF(C43="Poor",1,Unknown))))</f>
        <v>2</v>
      </c>
      <c r="E43" s="2" t="str">
        <f t="shared" si="0"/>
        <v>Nuetral/Negative</v>
      </c>
    </row>
    <row r="44" spans="1:5" x14ac:dyDescent="0.3">
      <c r="A44" s="2" t="s">
        <v>731</v>
      </c>
      <c r="B44" s="2" t="s">
        <v>313</v>
      </c>
      <c r="C44" s="2" t="s">
        <v>313</v>
      </c>
      <c r="D44" s="2" cm="1">
        <f t="array" ref="D44">IF(C44="Excellent",4,IF(C44="Good",3,IF(C44="Average",2,IF(C44="Poor",1,Unknown))))</f>
        <v>2</v>
      </c>
      <c r="E44" s="2" t="str">
        <f t="shared" si="0"/>
        <v>Nuetral/Negative</v>
      </c>
    </row>
    <row r="45" spans="1:5" x14ac:dyDescent="0.3">
      <c r="A45" s="2" t="s">
        <v>756</v>
      </c>
      <c r="B45" s="2" t="s">
        <v>313</v>
      </c>
      <c r="C45" s="2" t="s">
        <v>313</v>
      </c>
      <c r="D45" s="2" cm="1">
        <f t="array" ref="D45">IF(C45="Excellent",4,IF(C45="Good",3,IF(C45="Average",2,IF(C45="Poor",1,Unknown))))</f>
        <v>2</v>
      </c>
      <c r="E45" s="2" t="str">
        <f t="shared" si="0"/>
        <v>Nuetral/Negative</v>
      </c>
    </row>
    <row r="46" spans="1:5" x14ac:dyDescent="0.3">
      <c r="A46" s="2" t="s">
        <v>660</v>
      </c>
      <c r="B46" s="2" t="s">
        <v>313</v>
      </c>
      <c r="C46" s="2" t="s">
        <v>313</v>
      </c>
      <c r="D46" s="2" cm="1">
        <f t="array" ref="D46">IF(C46="Excellent",4,IF(C46="Good",3,IF(C46="Average",2,IF(C46="Poor",1,Unknown))))</f>
        <v>2</v>
      </c>
      <c r="E46" s="2" t="str">
        <f t="shared" si="0"/>
        <v>Nuetral/Negative</v>
      </c>
    </row>
    <row r="47" spans="1:5" x14ac:dyDescent="0.3">
      <c r="A47" s="2" t="s">
        <v>801</v>
      </c>
      <c r="B47" s="2" t="s">
        <v>313</v>
      </c>
      <c r="C47" s="2" t="s">
        <v>313</v>
      </c>
      <c r="D47" s="2" cm="1">
        <f t="array" ref="D47">IF(C47="Excellent",4,IF(C47="Good",3,IF(C47="Average",2,IF(C47="Poor",1,Unknown))))</f>
        <v>2</v>
      </c>
      <c r="E47" s="2" t="str">
        <f t="shared" si="0"/>
        <v>Nuetral/Negative</v>
      </c>
    </row>
    <row r="48" spans="1:5" x14ac:dyDescent="0.3">
      <c r="A48" s="2" t="s">
        <v>883</v>
      </c>
      <c r="B48" s="2" t="s">
        <v>313</v>
      </c>
      <c r="C48" s="2" t="s">
        <v>313</v>
      </c>
      <c r="D48" s="2" cm="1">
        <f t="array" ref="D48">IF(C48="Excellent",4,IF(C48="Good",3,IF(C48="Average",2,IF(C48="Poor",1,Unknown))))</f>
        <v>2</v>
      </c>
      <c r="E48" s="2" t="str">
        <f t="shared" si="0"/>
        <v>Nuetral/Negative</v>
      </c>
    </row>
    <row r="49" spans="1:5" x14ac:dyDescent="0.3">
      <c r="A49" s="2" t="s">
        <v>822</v>
      </c>
      <c r="B49" s="2" t="s">
        <v>313</v>
      </c>
      <c r="C49" s="2" t="s">
        <v>313</v>
      </c>
      <c r="D49" s="2" cm="1">
        <f t="array" ref="D49">IF(C49="Excellent",4,IF(C49="Good",3,IF(C49="Average",2,IF(C49="Poor",1,Unknown))))</f>
        <v>2</v>
      </c>
      <c r="E49" s="2" t="str">
        <f t="shared" si="0"/>
        <v>Nuetral/Negative</v>
      </c>
    </row>
    <row r="50" spans="1:5" x14ac:dyDescent="0.3">
      <c r="A50" s="2" t="s">
        <v>159</v>
      </c>
      <c r="B50" s="2" t="s">
        <v>313</v>
      </c>
      <c r="C50" s="2" t="s">
        <v>313</v>
      </c>
      <c r="D50" s="2" cm="1">
        <f t="array" ref="D50">IF(C50="Excellent",4,IF(C50="Good",3,IF(C50="Average",2,IF(C50="Poor",1,Unknown))))</f>
        <v>2</v>
      </c>
      <c r="E50" s="2" t="str">
        <f t="shared" si="0"/>
        <v>Nuetral/Negative</v>
      </c>
    </row>
    <row r="51" spans="1:5" x14ac:dyDescent="0.3">
      <c r="A51" s="2" t="s">
        <v>916</v>
      </c>
      <c r="B51" s="2" t="s">
        <v>313</v>
      </c>
      <c r="C51" s="2" t="s">
        <v>313</v>
      </c>
      <c r="D51" s="2" cm="1">
        <f t="array" ref="D51">IF(C51="Excellent",4,IF(C51="Good",3,IF(C51="Average",2,IF(C51="Poor",1,Unknown))))</f>
        <v>2</v>
      </c>
      <c r="E51" s="2" t="str">
        <f t="shared" si="0"/>
        <v>Nuetral/Negative</v>
      </c>
    </row>
    <row r="52" spans="1:5" x14ac:dyDescent="0.3">
      <c r="A52" s="2" t="s">
        <v>674</v>
      </c>
      <c r="B52" s="2" t="s">
        <v>313</v>
      </c>
      <c r="C52" s="2" t="s">
        <v>313</v>
      </c>
      <c r="D52" s="2" cm="1">
        <f t="array" ref="D52">IF(C52="Excellent",4,IF(C52="Good",3,IF(C52="Average",2,IF(C52="Poor",1,Unknown))))</f>
        <v>2</v>
      </c>
      <c r="E52" s="2" t="str">
        <f t="shared" si="0"/>
        <v>Nuetral/Negative</v>
      </c>
    </row>
    <row r="53" spans="1:5" x14ac:dyDescent="0.3">
      <c r="A53" s="2" t="s">
        <v>848</v>
      </c>
      <c r="B53" s="2" t="s">
        <v>313</v>
      </c>
      <c r="C53" s="2" t="s">
        <v>313</v>
      </c>
      <c r="D53" s="2" cm="1">
        <f t="array" ref="D53">IF(C53="Excellent",4,IF(C53="Good",3,IF(C53="Average",2,IF(C53="Poor",1,Unknown))))</f>
        <v>2</v>
      </c>
      <c r="E53" s="2" t="str">
        <f t="shared" si="0"/>
        <v>Nuetral/Negative</v>
      </c>
    </row>
    <row r="54" spans="1:5" x14ac:dyDescent="0.3">
      <c r="A54" s="2" t="s">
        <v>752</v>
      </c>
      <c r="B54" s="2" t="s">
        <v>313</v>
      </c>
      <c r="C54" s="2" t="s">
        <v>313</v>
      </c>
      <c r="D54" s="2" cm="1">
        <f t="array" ref="D54">IF(C54="Excellent",4,IF(C54="Good",3,IF(C54="Average",2,IF(C54="Poor",1,Unknown))))</f>
        <v>2</v>
      </c>
      <c r="E54" s="2" t="str">
        <f t="shared" si="0"/>
        <v>Nuetral/Negative</v>
      </c>
    </row>
    <row r="55" spans="1:5" x14ac:dyDescent="0.3">
      <c r="A55" s="2" t="s">
        <v>920</v>
      </c>
      <c r="B55" s="2" t="s">
        <v>313</v>
      </c>
      <c r="C55" s="2" t="s">
        <v>313</v>
      </c>
      <c r="D55" s="2" cm="1">
        <f t="array" ref="D55">IF(C55="Excellent",4,IF(C55="Good",3,IF(C55="Average",2,IF(C55="Poor",1,Unknown))))</f>
        <v>2</v>
      </c>
      <c r="E55" s="2" t="str">
        <f t="shared" si="0"/>
        <v>Nuetral/Negative</v>
      </c>
    </row>
    <row r="56" spans="1:5" x14ac:dyDescent="0.3">
      <c r="A56" s="2" t="s">
        <v>881</v>
      </c>
      <c r="B56" s="2" t="s">
        <v>313</v>
      </c>
      <c r="C56" s="2" t="s">
        <v>313</v>
      </c>
      <c r="D56" s="2" cm="1">
        <f t="array" ref="D56">IF(C56="Excellent",4,IF(C56="Good",3,IF(C56="Average",2,IF(C56="Poor",1,Unknown))))</f>
        <v>2</v>
      </c>
      <c r="E56" s="2" t="str">
        <f t="shared" si="0"/>
        <v>Nuetral/Negative</v>
      </c>
    </row>
    <row r="57" spans="1:5" x14ac:dyDescent="0.3">
      <c r="A57" s="2" t="s">
        <v>163</v>
      </c>
      <c r="B57" s="2" t="s">
        <v>313</v>
      </c>
      <c r="C57" s="2" t="s">
        <v>313</v>
      </c>
      <c r="D57" s="2" cm="1">
        <f t="array" ref="D57">IF(C57="Excellent",4,IF(C57="Good",3,IF(C57="Average",2,IF(C57="Poor",1,Unknown))))</f>
        <v>2</v>
      </c>
      <c r="E57" s="2" t="str">
        <f t="shared" si="0"/>
        <v>Nuetral/Negative</v>
      </c>
    </row>
    <row r="58" spans="1:5" x14ac:dyDescent="0.3">
      <c r="A58" s="2" t="s">
        <v>766</v>
      </c>
      <c r="B58" s="2" t="s">
        <v>313</v>
      </c>
      <c r="C58" s="2" t="s">
        <v>313</v>
      </c>
      <c r="D58" s="2" cm="1">
        <f t="array" ref="D58">IF(C58="Excellent",4,IF(C58="Good",3,IF(C58="Average",2,IF(C58="Poor",1,Unknown))))</f>
        <v>2</v>
      </c>
      <c r="E58" s="2" t="str">
        <f t="shared" si="0"/>
        <v>Nuetral/Negative</v>
      </c>
    </row>
    <row r="59" spans="1:5" x14ac:dyDescent="0.3">
      <c r="A59" s="2" t="s">
        <v>204</v>
      </c>
      <c r="B59" s="2" t="s">
        <v>313</v>
      </c>
      <c r="C59" s="2" t="s">
        <v>313</v>
      </c>
      <c r="D59" s="2" cm="1">
        <f t="array" ref="D59">IF(C59="Excellent",4,IF(C59="Good",3,IF(C59="Average",2,IF(C59="Poor",1,Unknown))))</f>
        <v>2</v>
      </c>
      <c r="E59" s="2" t="str">
        <f t="shared" si="0"/>
        <v>Nuetral/Negative</v>
      </c>
    </row>
    <row r="60" spans="1:5" x14ac:dyDescent="0.3">
      <c r="A60" s="2" t="s">
        <v>745</v>
      </c>
      <c r="B60" s="2" t="s">
        <v>313</v>
      </c>
      <c r="C60" s="2" t="s">
        <v>313</v>
      </c>
      <c r="D60" s="2" cm="1">
        <f t="array" ref="D60">IF(C60="Excellent",4,IF(C60="Good",3,IF(C60="Average",2,IF(C60="Poor",1,Unknown))))</f>
        <v>2</v>
      </c>
      <c r="E60" s="2" t="str">
        <f t="shared" si="0"/>
        <v>Nuetral/Negative</v>
      </c>
    </row>
    <row r="61" spans="1:5" x14ac:dyDescent="0.3">
      <c r="A61" s="2" t="s">
        <v>919</v>
      </c>
      <c r="B61" s="2" t="s">
        <v>313</v>
      </c>
      <c r="C61" s="2" t="s">
        <v>313</v>
      </c>
      <c r="D61" s="2" cm="1">
        <f t="array" ref="D61">IF(C61="Excellent",4,IF(C61="Good",3,IF(C61="Average",2,IF(C61="Poor",1,Unknown))))</f>
        <v>2</v>
      </c>
      <c r="E61" s="2" t="str">
        <f t="shared" si="0"/>
        <v>Nuetral/Negative</v>
      </c>
    </row>
    <row r="62" spans="1:5" x14ac:dyDescent="0.3">
      <c r="A62" s="2" t="s">
        <v>719</v>
      </c>
      <c r="B62" s="2" t="s">
        <v>313</v>
      </c>
      <c r="C62" s="2" t="s">
        <v>313</v>
      </c>
      <c r="D62" s="2" cm="1">
        <f t="array" ref="D62">IF(C62="Excellent",4,IF(C62="Good",3,IF(C62="Average",2,IF(C62="Poor",1,Unknown))))</f>
        <v>2</v>
      </c>
      <c r="E62" s="2" t="str">
        <f t="shared" si="0"/>
        <v>Nuetral/Negative</v>
      </c>
    </row>
    <row r="63" spans="1:5" x14ac:dyDescent="0.3">
      <c r="A63" s="2" t="s">
        <v>893</v>
      </c>
      <c r="B63" s="2" t="s">
        <v>313</v>
      </c>
      <c r="C63" s="2" t="s">
        <v>313</v>
      </c>
      <c r="D63" s="2" cm="1">
        <f t="array" ref="D63">IF(C63="Excellent",4,IF(C63="Good",3,IF(C63="Average",2,IF(C63="Poor",1,Unknown))))</f>
        <v>2</v>
      </c>
      <c r="E63" s="2" t="str">
        <f t="shared" si="0"/>
        <v>Nuetral/Negative</v>
      </c>
    </row>
    <row r="64" spans="1:5" x14ac:dyDescent="0.3">
      <c r="A64" s="2" t="s">
        <v>1110</v>
      </c>
      <c r="B64" s="2" t="s">
        <v>313</v>
      </c>
      <c r="C64" s="2" t="s">
        <v>313</v>
      </c>
      <c r="D64" s="2" cm="1">
        <f t="array" ref="D64">IF(C64="Excellent",4,IF(C64="Good",3,IF(C64="Average",2,IF(C64="Poor",1,Unknown))))</f>
        <v>2</v>
      </c>
      <c r="E64" s="2" t="str">
        <f t="shared" si="0"/>
        <v>Nuetral/Negative</v>
      </c>
    </row>
    <row r="65" spans="1:5" x14ac:dyDescent="0.3">
      <c r="A65" s="2" t="s">
        <v>764</v>
      </c>
      <c r="B65" s="2" t="s">
        <v>313</v>
      </c>
      <c r="C65" s="2" t="s">
        <v>313</v>
      </c>
      <c r="D65" s="2" cm="1">
        <f t="array" ref="D65">IF(C65="Excellent",4,IF(C65="Good",3,IF(C65="Average",2,IF(C65="Poor",1,Unknown))))</f>
        <v>2</v>
      </c>
      <c r="E65" s="2" t="str">
        <f t="shared" si="0"/>
        <v>Nuetral/Negative</v>
      </c>
    </row>
    <row r="66" spans="1:5" x14ac:dyDescent="0.3">
      <c r="A66" s="2" t="s">
        <v>743</v>
      </c>
      <c r="B66" s="2" t="s">
        <v>313</v>
      </c>
      <c r="C66" s="2" t="s">
        <v>313</v>
      </c>
      <c r="D66" s="2" cm="1">
        <f t="array" ref="D66">IF(C66="Excellent",4,IF(C66="Good",3,IF(C66="Average",2,IF(C66="Poor",1,Unknown))))</f>
        <v>2</v>
      </c>
      <c r="E66" s="2" t="str">
        <f t="shared" si="0"/>
        <v>Nuetral/Negative</v>
      </c>
    </row>
    <row r="67" spans="1:5" x14ac:dyDescent="0.3">
      <c r="A67" s="2" t="s">
        <v>672</v>
      </c>
      <c r="B67" s="2" t="s">
        <v>313</v>
      </c>
      <c r="C67" s="2" t="s">
        <v>313</v>
      </c>
      <c r="D67" s="2" cm="1">
        <f t="array" ref="D67">IF(C67="Excellent",4,IF(C67="Good",3,IF(C67="Average",2,IF(C67="Poor",1,Unknown))))</f>
        <v>2</v>
      </c>
      <c r="E67" s="2" t="str">
        <f t="shared" ref="E67:E130" si="1">IF(OR(C67="Average",C67="Poor"),"Nuetral/Negative","Positive")</f>
        <v>Nuetral/Negative</v>
      </c>
    </row>
    <row r="68" spans="1:5" x14ac:dyDescent="0.3">
      <c r="A68" s="2" t="s">
        <v>863</v>
      </c>
      <c r="B68" s="2" t="s">
        <v>313</v>
      </c>
      <c r="C68" s="2" t="s">
        <v>313</v>
      </c>
      <c r="D68" s="2" cm="1">
        <f t="array" ref="D68">IF(C68="Excellent",4,IF(C68="Good",3,IF(C68="Average",2,IF(C68="Poor",1,Unknown))))</f>
        <v>2</v>
      </c>
      <c r="E68" s="2" t="str">
        <f t="shared" si="1"/>
        <v>Nuetral/Negative</v>
      </c>
    </row>
    <row r="69" spans="1:5" x14ac:dyDescent="0.3">
      <c r="A69" s="2" t="s">
        <v>175</v>
      </c>
      <c r="B69" s="2" t="s">
        <v>313</v>
      </c>
      <c r="C69" s="2" t="s">
        <v>313</v>
      </c>
      <c r="D69" s="2" cm="1">
        <f t="array" ref="D69">IF(C69="Excellent",4,IF(C69="Good",3,IF(C69="Average",2,IF(C69="Poor",1,Unknown))))</f>
        <v>2</v>
      </c>
      <c r="E69" s="2" t="str">
        <f t="shared" si="1"/>
        <v>Nuetral/Negative</v>
      </c>
    </row>
    <row r="70" spans="1:5" x14ac:dyDescent="0.3">
      <c r="A70" s="2" t="s">
        <v>901</v>
      </c>
      <c r="B70" s="2" t="s">
        <v>313</v>
      </c>
      <c r="C70" s="2" t="s">
        <v>313</v>
      </c>
      <c r="D70" s="2" cm="1">
        <f t="array" ref="D70">IF(C70="Excellent",4,IF(C70="Good",3,IF(C70="Average",2,IF(C70="Poor",1,Unknown))))</f>
        <v>2</v>
      </c>
      <c r="E70" s="2" t="str">
        <f t="shared" si="1"/>
        <v>Nuetral/Negative</v>
      </c>
    </row>
    <row r="71" spans="1:5" x14ac:dyDescent="0.3">
      <c r="A71" s="2" t="s">
        <v>795</v>
      </c>
      <c r="B71" s="2" t="s">
        <v>313</v>
      </c>
      <c r="C71" s="2" t="s">
        <v>313</v>
      </c>
      <c r="D71" s="2" cm="1">
        <f t="array" ref="D71">IF(C71="Excellent",4,IF(C71="Good",3,IF(C71="Average",2,IF(C71="Poor",1,Unknown))))</f>
        <v>2</v>
      </c>
      <c r="E71" s="2" t="str">
        <f t="shared" si="1"/>
        <v>Nuetral/Negative</v>
      </c>
    </row>
    <row r="72" spans="1:5" x14ac:dyDescent="0.3">
      <c r="A72" s="2" t="s">
        <v>899</v>
      </c>
      <c r="B72" s="2" t="s">
        <v>313</v>
      </c>
      <c r="C72" s="2" t="s">
        <v>313</v>
      </c>
      <c r="D72" s="2" cm="1">
        <f t="array" ref="D72">IF(C72="Excellent",4,IF(C72="Good",3,IF(C72="Average",2,IF(C72="Poor",1,Unknown))))</f>
        <v>2</v>
      </c>
      <c r="E72" s="2" t="str">
        <f t="shared" si="1"/>
        <v>Nuetral/Negative</v>
      </c>
    </row>
    <row r="73" spans="1:5" x14ac:dyDescent="0.3">
      <c r="A73" s="2" t="s">
        <v>131</v>
      </c>
      <c r="B73" s="2" t="s">
        <v>313</v>
      </c>
      <c r="C73" s="2" t="s">
        <v>313</v>
      </c>
      <c r="D73" s="2" cm="1">
        <f t="array" ref="D73">IF(C73="Excellent",4,IF(C73="Good",3,IF(C73="Average",2,IF(C73="Poor",1,Unknown))))</f>
        <v>2</v>
      </c>
      <c r="E73" s="2" t="str">
        <f t="shared" si="1"/>
        <v>Nuetral/Negative</v>
      </c>
    </row>
    <row r="74" spans="1:5" x14ac:dyDescent="0.3">
      <c r="A74" s="2" t="s">
        <v>228</v>
      </c>
      <c r="B74" s="2" t="s">
        <v>313</v>
      </c>
      <c r="C74" s="2" t="s">
        <v>313</v>
      </c>
      <c r="D74" s="2" cm="1">
        <f t="array" ref="D74">IF(C74="Excellent",4,IF(C74="Good",3,IF(C74="Average",2,IF(C74="Poor",1,Unknown))))</f>
        <v>2</v>
      </c>
      <c r="E74" s="2" t="str">
        <f t="shared" si="1"/>
        <v>Nuetral/Negative</v>
      </c>
    </row>
    <row r="75" spans="1:5" x14ac:dyDescent="0.3">
      <c r="A75" s="2" t="s">
        <v>791</v>
      </c>
      <c r="B75" s="2" t="s">
        <v>313</v>
      </c>
      <c r="C75" s="2" t="s">
        <v>313</v>
      </c>
      <c r="D75" s="2" cm="1">
        <f t="array" ref="D75">IF(C75="Excellent",4,IF(C75="Good",3,IF(C75="Average",2,IF(C75="Poor",1,Unknown))))</f>
        <v>2</v>
      </c>
      <c r="E75" s="2" t="str">
        <f t="shared" si="1"/>
        <v>Nuetral/Negative</v>
      </c>
    </row>
    <row r="76" spans="1:5" x14ac:dyDescent="0.3">
      <c r="A76" s="2" t="s">
        <v>763</v>
      </c>
      <c r="B76" s="2" t="s">
        <v>313</v>
      </c>
      <c r="C76" s="2" t="s">
        <v>313</v>
      </c>
      <c r="D76" s="2" cm="1">
        <f t="array" ref="D76">IF(C76="Excellent",4,IF(C76="Good",3,IF(C76="Average",2,IF(C76="Poor",1,Unknown))))</f>
        <v>2</v>
      </c>
      <c r="E76" s="2" t="str">
        <f t="shared" si="1"/>
        <v>Nuetral/Negative</v>
      </c>
    </row>
    <row r="77" spans="1:5" x14ac:dyDescent="0.3">
      <c r="A77" s="2" t="s">
        <v>945</v>
      </c>
      <c r="B77" s="2" t="s">
        <v>313</v>
      </c>
      <c r="C77" s="2" t="s">
        <v>313</v>
      </c>
      <c r="D77" s="2" cm="1">
        <f t="array" ref="D77">IF(C77="Excellent",4,IF(C77="Good",3,IF(C77="Average",2,IF(C77="Poor",1,Unknown))))</f>
        <v>2</v>
      </c>
      <c r="E77" s="2" t="str">
        <f t="shared" si="1"/>
        <v>Nuetral/Negative</v>
      </c>
    </row>
    <row r="78" spans="1:5" x14ac:dyDescent="0.3">
      <c r="A78" s="2" t="s">
        <v>709</v>
      </c>
      <c r="B78" s="2" t="s">
        <v>313</v>
      </c>
      <c r="C78" s="2" t="s">
        <v>313</v>
      </c>
      <c r="D78" s="2" cm="1">
        <f t="array" ref="D78">IF(C78="Excellent",4,IF(C78="Good",3,IF(C78="Average",2,IF(C78="Poor",1,Unknown))))</f>
        <v>2</v>
      </c>
      <c r="E78" s="2" t="str">
        <f t="shared" si="1"/>
        <v>Nuetral/Negative</v>
      </c>
    </row>
    <row r="79" spans="1:5" x14ac:dyDescent="0.3">
      <c r="A79" s="2" t="s">
        <v>694</v>
      </c>
      <c r="B79" s="2" t="s">
        <v>313</v>
      </c>
      <c r="C79" s="2" t="s">
        <v>313</v>
      </c>
      <c r="D79" s="2" cm="1">
        <f t="array" ref="D79">IF(C79="Excellent",4,IF(C79="Good",3,IF(C79="Average",2,IF(C79="Poor",1,Unknown))))</f>
        <v>2</v>
      </c>
      <c r="E79" s="2" t="str">
        <f t="shared" si="1"/>
        <v>Nuetral/Negative</v>
      </c>
    </row>
    <row r="80" spans="1:5" x14ac:dyDescent="0.3">
      <c r="A80" s="2" t="s">
        <v>683</v>
      </c>
      <c r="B80" s="2" t="s">
        <v>313</v>
      </c>
      <c r="C80" s="2" t="s">
        <v>313</v>
      </c>
      <c r="D80" s="2" cm="1">
        <f t="array" ref="D80">IF(C80="Excellent",4,IF(C80="Good",3,IF(C80="Average",2,IF(C80="Poor",1,Unknown))))</f>
        <v>2</v>
      </c>
      <c r="E80" s="2" t="str">
        <f t="shared" si="1"/>
        <v>Nuetral/Negative</v>
      </c>
    </row>
    <row r="81" spans="1:5" x14ac:dyDescent="0.3">
      <c r="A81" s="2" t="s">
        <v>716</v>
      </c>
      <c r="B81" s="2" t="s">
        <v>313</v>
      </c>
      <c r="C81" s="2" t="s">
        <v>313</v>
      </c>
      <c r="D81" s="2" cm="1">
        <f t="array" ref="D81">IF(C81="Excellent",4,IF(C81="Good",3,IF(C81="Average",2,IF(C81="Poor",1,Unknown))))</f>
        <v>2</v>
      </c>
      <c r="E81" s="2" t="str">
        <f t="shared" si="1"/>
        <v>Nuetral/Negative</v>
      </c>
    </row>
    <row r="82" spans="1:5" x14ac:dyDescent="0.3">
      <c r="A82" s="2" t="s">
        <v>783</v>
      </c>
      <c r="B82" s="2" t="s">
        <v>313</v>
      </c>
      <c r="C82" s="2" t="s">
        <v>313</v>
      </c>
      <c r="D82" s="2" cm="1">
        <f t="array" ref="D82">IF(C82="Excellent",4,IF(C82="Good",3,IF(C82="Average",2,IF(C82="Poor",1,Unknown))))</f>
        <v>2</v>
      </c>
      <c r="E82" s="2" t="str">
        <f t="shared" si="1"/>
        <v>Nuetral/Negative</v>
      </c>
    </row>
    <row r="83" spans="1:5" x14ac:dyDescent="0.3">
      <c r="A83" s="2" t="s">
        <v>711</v>
      </c>
      <c r="B83" s="2" t="s">
        <v>313</v>
      </c>
      <c r="C83" s="2" t="s">
        <v>313</v>
      </c>
      <c r="D83" s="2" cm="1">
        <f t="array" ref="D83">IF(C83="Excellent",4,IF(C83="Good",3,IF(C83="Average",2,IF(C83="Poor",1,Unknown))))</f>
        <v>2</v>
      </c>
      <c r="E83" s="2" t="str">
        <f t="shared" si="1"/>
        <v>Nuetral/Negative</v>
      </c>
    </row>
    <row r="84" spans="1:5" x14ac:dyDescent="0.3">
      <c r="A84" s="2" t="s">
        <v>149</v>
      </c>
      <c r="B84" s="2" t="s">
        <v>313</v>
      </c>
      <c r="C84" s="2" t="s">
        <v>313</v>
      </c>
      <c r="D84" s="2" cm="1">
        <f t="array" ref="D84">IF(C84="Excellent",4,IF(C84="Good",3,IF(C84="Average",2,IF(C84="Poor",1,Unknown))))</f>
        <v>2</v>
      </c>
      <c r="E84" s="2" t="str">
        <f t="shared" si="1"/>
        <v>Nuetral/Negative</v>
      </c>
    </row>
    <row r="85" spans="1:5" x14ac:dyDescent="0.3">
      <c r="A85" s="2" t="s">
        <v>181</v>
      </c>
      <c r="B85" s="2" t="s">
        <v>313</v>
      </c>
      <c r="C85" s="2" t="s">
        <v>313</v>
      </c>
      <c r="D85" s="2" cm="1">
        <f t="array" ref="D85">IF(C85="Excellent",4,IF(C85="Good",3,IF(C85="Average",2,IF(C85="Poor",1,Unknown))))</f>
        <v>2</v>
      </c>
      <c r="E85" s="2" t="str">
        <f t="shared" si="1"/>
        <v>Nuetral/Negative</v>
      </c>
    </row>
    <row r="86" spans="1:5" x14ac:dyDescent="0.3">
      <c r="A86" s="2" t="s">
        <v>831</v>
      </c>
      <c r="B86" s="2" t="s">
        <v>313</v>
      </c>
      <c r="C86" s="2" t="s">
        <v>313</v>
      </c>
      <c r="D86" s="2" cm="1">
        <f t="array" ref="D86">IF(C86="Excellent",4,IF(C86="Good",3,IF(C86="Average",2,IF(C86="Poor",1,Unknown))))</f>
        <v>2</v>
      </c>
      <c r="E86" s="2" t="str">
        <f t="shared" si="1"/>
        <v>Nuetral/Negative</v>
      </c>
    </row>
    <row r="87" spans="1:5" x14ac:dyDescent="0.3">
      <c r="A87" s="2" t="s">
        <v>821</v>
      </c>
      <c r="B87" s="2" t="s">
        <v>313</v>
      </c>
      <c r="C87" s="2" t="s">
        <v>313</v>
      </c>
      <c r="D87" s="2" cm="1">
        <f t="array" ref="D87">IF(C87="Excellent",4,IF(C87="Good",3,IF(C87="Average",2,IF(C87="Poor",1,Unknown))))</f>
        <v>2</v>
      </c>
      <c r="E87" s="2" t="str">
        <f t="shared" si="1"/>
        <v>Nuetral/Negative</v>
      </c>
    </row>
    <row r="88" spans="1:5" x14ac:dyDescent="0.3">
      <c r="A88" s="2" t="s">
        <v>132</v>
      </c>
      <c r="B88" s="2" t="s">
        <v>313</v>
      </c>
      <c r="C88" s="2" t="s">
        <v>313</v>
      </c>
      <c r="D88" s="2" cm="1">
        <f t="array" ref="D88">IF(C88="Excellent",4,IF(C88="Good",3,IF(C88="Average",2,IF(C88="Poor",1,Unknown))))</f>
        <v>2</v>
      </c>
      <c r="E88" s="2" t="str">
        <f t="shared" si="1"/>
        <v>Nuetral/Negative</v>
      </c>
    </row>
    <row r="89" spans="1:5" x14ac:dyDescent="0.3">
      <c r="A89" s="2" t="s">
        <v>846</v>
      </c>
      <c r="B89" s="2" t="s">
        <v>313</v>
      </c>
      <c r="C89" s="2" t="s">
        <v>313</v>
      </c>
      <c r="D89" s="2" cm="1">
        <f t="array" ref="D89">IF(C89="Excellent",4,IF(C89="Good",3,IF(C89="Average",2,IF(C89="Poor",1,Unknown))))</f>
        <v>2</v>
      </c>
      <c r="E89" s="2" t="str">
        <f t="shared" si="1"/>
        <v>Nuetral/Negative</v>
      </c>
    </row>
    <row r="90" spans="1:5" x14ac:dyDescent="0.3">
      <c r="A90" s="2" t="s">
        <v>680</v>
      </c>
      <c r="B90" s="2" t="s">
        <v>313</v>
      </c>
      <c r="C90" s="2" t="s">
        <v>313</v>
      </c>
      <c r="D90" s="2" cm="1">
        <f t="array" ref="D90">IF(C90="Excellent",4,IF(C90="Good",3,IF(C90="Average",2,IF(C90="Poor",1,Unknown))))</f>
        <v>2</v>
      </c>
      <c r="E90" s="2" t="str">
        <f t="shared" si="1"/>
        <v>Nuetral/Negative</v>
      </c>
    </row>
    <row r="91" spans="1:5" x14ac:dyDescent="0.3">
      <c r="A91" s="2" t="s">
        <v>813</v>
      </c>
      <c r="B91" s="2" t="s">
        <v>313</v>
      </c>
      <c r="C91" s="2" t="s">
        <v>313</v>
      </c>
      <c r="D91" s="2" cm="1">
        <f t="array" ref="D91">IF(C91="Excellent",4,IF(C91="Good",3,IF(C91="Average",2,IF(C91="Poor",1,Unknown))))</f>
        <v>2</v>
      </c>
      <c r="E91" s="2" t="str">
        <f t="shared" si="1"/>
        <v>Nuetral/Negative</v>
      </c>
    </row>
    <row r="92" spans="1:5" x14ac:dyDescent="0.3">
      <c r="A92" s="2" t="s">
        <v>222</v>
      </c>
      <c r="B92" s="2" t="s">
        <v>313</v>
      </c>
      <c r="C92" s="2" t="s">
        <v>313</v>
      </c>
      <c r="D92" s="2" cm="1">
        <f t="array" ref="D92">IF(C92="Excellent",4,IF(C92="Good",3,IF(C92="Average",2,IF(C92="Poor",1,Unknown))))</f>
        <v>2</v>
      </c>
      <c r="E92" s="2" t="str">
        <f t="shared" si="1"/>
        <v>Nuetral/Negative</v>
      </c>
    </row>
    <row r="93" spans="1:5" x14ac:dyDescent="0.3">
      <c r="A93" s="2" t="s">
        <v>160</v>
      </c>
      <c r="B93" s="2" t="s">
        <v>313</v>
      </c>
      <c r="C93" s="2" t="s">
        <v>313</v>
      </c>
      <c r="D93" s="2" cm="1">
        <f t="array" ref="D93">IF(C93="Excellent",4,IF(C93="Good",3,IF(C93="Average",2,IF(C93="Poor",1,Unknown))))</f>
        <v>2</v>
      </c>
      <c r="E93" s="2" t="str">
        <f t="shared" si="1"/>
        <v>Nuetral/Negative</v>
      </c>
    </row>
    <row r="94" spans="1:5" x14ac:dyDescent="0.3">
      <c r="A94" s="2" t="s">
        <v>829</v>
      </c>
      <c r="B94" s="2" t="s">
        <v>313</v>
      </c>
      <c r="C94" s="2" t="s">
        <v>313</v>
      </c>
      <c r="D94" s="2" cm="1">
        <f t="array" ref="D94">IF(C94="Excellent",4,IF(C94="Good",3,IF(C94="Average",2,IF(C94="Poor",1,Unknown))))</f>
        <v>2</v>
      </c>
      <c r="E94" s="2" t="str">
        <f t="shared" si="1"/>
        <v>Nuetral/Negative</v>
      </c>
    </row>
    <row r="95" spans="1:5" x14ac:dyDescent="0.3">
      <c r="A95" s="2" t="s">
        <v>220</v>
      </c>
      <c r="B95" s="2" t="s">
        <v>313</v>
      </c>
      <c r="C95" s="2" t="s">
        <v>313</v>
      </c>
      <c r="D95" s="2" cm="1">
        <f t="array" ref="D95">IF(C95="Excellent",4,IF(C95="Good",3,IF(C95="Average",2,IF(C95="Poor",1,Unknown))))</f>
        <v>2</v>
      </c>
      <c r="E95" s="2" t="str">
        <f t="shared" si="1"/>
        <v>Nuetral/Negative</v>
      </c>
    </row>
    <row r="96" spans="1:5" x14ac:dyDescent="0.3">
      <c r="A96" s="2" t="s">
        <v>1106</v>
      </c>
      <c r="B96" s="2" t="s">
        <v>313</v>
      </c>
      <c r="C96" s="2" t="s">
        <v>313</v>
      </c>
      <c r="D96" s="2" cm="1">
        <f t="array" ref="D96">IF(C96="Excellent",4,IF(C96="Good",3,IF(C96="Average",2,IF(C96="Poor",1,Unknown))))</f>
        <v>2</v>
      </c>
      <c r="E96" s="2" t="str">
        <f t="shared" si="1"/>
        <v>Nuetral/Negative</v>
      </c>
    </row>
    <row r="97" spans="1:5" x14ac:dyDescent="0.3">
      <c r="A97" s="2" t="s">
        <v>705</v>
      </c>
      <c r="B97" s="2" t="s">
        <v>313</v>
      </c>
      <c r="C97" s="2" t="s">
        <v>313</v>
      </c>
      <c r="D97" s="2" cm="1">
        <f t="array" ref="D97">IF(C97="Excellent",4,IF(C97="Good",3,IF(C97="Average",2,IF(C97="Poor",1,Unknown))))</f>
        <v>2</v>
      </c>
      <c r="E97" s="2" t="str">
        <f t="shared" si="1"/>
        <v>Nuetral/Negative</v>
      </c>
    </row>
    <row r="98" spans="1:5" x14ac:dyDescent="0.3">
      <c r="A98" s="2" t="s">
        <v>793</v>
      </c>
      <c r="B98" s="2" t="s">
        <v>313</v>
      </c>
      <c r="C98" s="2" t="s">
        <v>313</v>
      </c>
      <c r="D98" s="2" cm="1">
        <f t="array" ref="D98">IF(C98="Excellent",4,IF(C98="Good",3,IF(C98="Average",2,IF(C98="Poor",1,Unknown))))</f>
        <v>2</v>
      </c>
      <c r="E98" s="2" t="str">
        <f t="shared" si="1"/>
        <v>Nuetral/Negative</v>
      </c>
    </row>
    <row r="99" spans="1:5" x14ac:dyDescent="0.3">
      <c r="A99" s="2" t="s">
        <v>861</v>
      </c>
      <c r="B99" s="2" t="s">
        <v>313</v>
      </c>
      <c r="C99" s="2" t="s">
        <v>313</v>
      </c>
      <c r="D99" s="2" cm="1">
        <f t="array" ref="D99">IF(C99="Excellent",4,IF(C99="Good",3,IF(C99="Average",2,IF(C99="Poor",1,Unknown))))</f>
        <v>2</v>
      </c>
      <c r="E99" s="2" t="str">
        <f t="shared" si="1"/>
        <v>Nuetral/Negative</v>
      </c>
    </row>
    <row r="100" spans="1:5" x14ac:dyDescent="0.3">
      <c r="A100" s="2" t="s">
        <v>790</v>
      </c>
      <c r="B100" s="2" t="s">
        <v>313</v>
      </c>
      <c r="C100" s="2" t="s">
        <v>313</v>
      </c>
      <c r="D100" s="2" cm="1">
        <f t="array" ref="D100">IF(C100="Excellent",4,IF(C100="Good",3,IF(C100="Average",2,IF(C100="Poor",1,Unknown))))</f>
        <v>2</v>
      </c>
      <c r="E100" s="2" t="str">
        <f t="shared" si="1"/>
        <v>Nuetral/Negative</v>
      </c>
    </row>
    <row r="101" spans="1:5" x14ac:dyDescent="0.3">
      <c r="A101" s="2" t="s">
        <v>193</v>
      </c>
      <c r="B101" s="2" t="s">
        <v>313</v>
      </c>
      <c r="C101" s="2" t="s">
        <v>313</v>
      </c>
      <c r="D101" s="2" cm="1">
        <f t="array" ref="D101">IF(C101="Excellent",4,IF(C101="Good",3,IF(C101="Average",2,IF(C101="Poor",1,Unknown))))</f>
        <v>2</v>
      </c>
      <c r="E101" s="2" t="str">
        <f t="shared" si="1"/>
        <v>Nuetral/Negative</v>
      </c>
    </row>
    <row r="102" spans="1:5" x14ac:dyDescent="0.3">
      <c r="A102" s="2" t="s">
        <v>218</v>
      </c>
      <c r="B102" s="2" t="s">
        <v>311</v>
      </c>
      <c r="C102" s="2" t="s">
        <v>311</v>
      </c>
      <c r="D102" s="2" cm="1">
        <f t="array" ref="D102">IF(C102="Excellent",4,IF(C102="Good",3,IF(C102="Average",2,IF(C102="Poor",1,Unknown))))</f>
        <v>4</v>
      </c>
      <c r="E102" s="2" t="str">
        <f t="shared" si="1"/>
        <v>Positive</v>
      </c>
    </row>
    <row r="103" spans="1:5" x14ac:dyDescent="0.3">
      <c r="A103" s="2" t="s">
        <v>189</v>
      </c>
      <c r="B103" s="2" t="s">
        <v>311</v>
      </c>
      <c r="C103" s="2" t="s">
        <v>311</v>
      </c>
      <c r="D103" s="2" cm="1">
        <f t="array" ref="D103">IF(C103="Excellent",4,IF(C103="Good",3,IF(C103="Average",2,IF(C103="Poor",1,Unknown))))</f>
        <v>4</v>
      </c>
      <c r="E103" s="2" t="str">
        <f t="shared" si="1"/>
        <v>Positive</v>
      </c>
    </row>
    <row r="104" spans="1:5" x14ac:dyDescent="0.3">
      <c r="A104" s="2" t="s">
        <v>871</v>
      </c>
      <c r="B104" s="2" t="s">
        <v>311</v>
      </c>
      <c r="C104" s="2" t="s">
        <v>311</v>
      </c>
      <c r="D104" s="2" cm="1">
        <f t="array" ref="D104">IF(C104="Excellent",4,IF(C104="Good",3,IF(C104="Average",2,IF(C104="Poor",1,Unknown))))</f>
        <v>4</v>
      </c>
      <c r="E104" s="2" t="str">
        <f t="shared" si="1"/>
        <v>Positive</v>
      </c>
    </row>
    <row r="105" spans="1:5" x14ac:dyDescent="0.3">
      <c r="A105" s="2" t="s">
        <v>143</v>
      </c>
      <c r="B105" s="2" t="s">
        <v>311</v>
      </c>
      <c r="C105" s="2" t="s">
        <v>311</v>
      </c>
      <c r="D105" s="2" cm="1">
        <f t="array" ref="D105">IF(C105="Excellent",4,IF(C105="Good",3,IF(C105="Average",2,IF(C105="Poor",1,Unknown))))</f>
        <v>4</v>
      </c>
      <c r="E105" s="2" t="str">
        <f t="shared" si="1"/>
        <v>Positive</v>
      </c>
    </row>
    <row r="106" spans="1:5" x14ac:dyDescent="0.3">
      <c r="A106" s="2" t="s">
        <v>902</v>
      </c>
      <c r="B106" s="2" t="s">
        <v>311</v>
      </c>
      <c r="C106" s="2" t="s">
        <v>311</v>
      </c>
      <c r="D106" s="2" cm="1">
        <f t="array" ref="D106">IF(C106="Excellent",4,IF(C106="Good",3,IF(C106="Average",2,IF(C106="Poor",1,Unknown))))</f>
        <v>4</v>
      </c>
      <c r="E106" s="2" t="str">
        <f t="shared" si="1"/>
        <v>Positive</v>
      </c>
    </row>
    <row r="107" spans="1:5" x14ac:dyDescent="0.3">
      <c r="A107" s="2" t="s">
        <v>830</v>
      </c>
      <c r="B107" s="2" t="s">
        <v>311</v>
      </c>
      <c r="C107" s="2" t="s">
        <v>311</v>
      </c>
      <c r="D107" s="2" cm="1">
        <f t="array" ref="D107">IF(C107="Excellent",4,IF(C107="Good",3,IF(C107="Average",2,IF(C107="Poor",1,Unknown))))</f>
        <v>4</v>
      </c>
      <c r="E107" s="2" t="str">
        <f t="shared" si="1"/>
        <v>Positive</v>
      </c>
    </row>
    <row r="108" spans="1:5" x14ac:dyDescent="0.3">
      <c r="A108" s="2" t="s">
        <v>214</v>
      </c>
      <c r="B108" s="2" t="s">
        <v>311</v>
      </c>
      <c r="C108" s="2" t="s">
        <v>311</v>
      </c>
      <c r="D108" s="2" cm="1">
        <f t="array" ref="D108">IF(C108="Excellent",4,IF(C108="Good",3,IF(C108="Average",2,IF(C108="Poor",1,Unknown))))</f>
        <v>4</v>
      </c>
      <c r="E108" s="2" t="str">
        <f t="shared" si="1"/>
        <v>Positive</v>
      </c>
    </row>
    <row r="109" spans="1:5" x14ac:dyDescent="0.3">
      <c r="A109" s="2" t="s">
        <v>186</v>
      </c>
      <c r="B109" s="2" t="s">
        <v>311</v>
      </c>
      <c r="C109" s="2" t="s">
        <v>311</v>
      </c>
      <c r="D109" s="2" cm="1">
        <f t="array" ref="D109">IF(C109="Excellent",4,IF(C109="Good",3,IF(C109="Average",2,IF(C109="Poor",1,Unknown))))</f>
        <v>4</v>
      </c>
      <c r="E109" s="2" t="str">
        <f t="shared" si="1"/>
        <v>Positive</v>
      </c>
    </row>
    <row r="110" spans="1:5" x14ac:dyDescent="0.3">
      <c r="A110" s="2" t="s">
        <v>792</v>
      </c>
      <c r="B110" s="2" t="s">
        <v>311</v>
      </c>
      <c r="C110" s="2" t="s">
        <v>311</v>
      </c>
      <c r="D110" s="2" cm="1">
        <f t="array" ref="D110">IF(C110="Excellent",4,IF(C110="Good",3,IF(C110="Average",2,IF(C110="Poor",1,Unknown))))</f>
        <v>4</v>
      </c>
      <c r="E110" s="2" t="str">
        <f t="shared" si="1"/>
        <v>Positive</v>
      </c>
    </row>
    <row r="111" spans="1:5" x14ac:dyDescent="0.3">
      <c r="A111" s="2" t="s">
        <v>927</v>
      </c>
      <c r="B111" s="2" t="s">
        <v>311</v>
      </c>
      <c r="C111" s="2" t="s">
        <v>311</v>
      </c>
      <c r="D111" s="2" cm="1">
        <f t="array" ref="D111">IF(C111="Excellent",4,IF(C111="Good",3,IF(C111="Average",2,IF(C111="Poor",1,Unknown))))</f>
        <v>4</v>
      </c>
      <c r="E111" s="2" t="str">
        <f t="shared" si="1"/>
        <v>Positive</v>
      </c>
    </row>
    <row r="112" spans="1:5" x14ac:dyDescent="0.3">
      <c r="A112" s="2" t="s">
        <v>217</v>
      </c>
      <c r="B112" s="2" t="s">
        <v>311</v>
      </c>
      <c r="C112" s="2" t="s">
        <v>311</v>
      </c>
      <c r="D112" s="2" cm="1">
        <f t="array" ref="D112">IF(C112="Excellent",4,IF(C112="Good",3,IF(C112="Average",2,IF(C112="Poor",1,Unknown))))</f>
        <v>4</v>
      </c>
      <c r="E112" s="2" t="str">
        <f t="shared" si="1"/>
        <v>Positive</v>
      </c>
    </row>
    <row r="113" spans="1:5" x14ac:dyDescent="0.3">
      <c r="A113" s="2" t="s">
        <v>840</v>
      </c>
      <c r="B113" s="2" t="s">
        <v>311</v>
      </c>
      <c r="C113" s="2" t="s">
        <v>311</v>
      </c>
      <c r="D113" s="2" cm="1">
        <f t="array" ref="D113">IF(C113="Excellent",4,IF(C113="Good",3,IF(C113="Average",2,IF(C113="Poor",1,Unknown))))</f>
        <v>4</v>
      </c>
      <c r="E113" s="2" t="str">
        <f t="shared" si="1"/>
        <v>Positive</v>
      </c>
    </row>
    <row r="114" spans="1:5" x14ac:dyDescent="0.3">
      <c r="A114" s="2" t="s">
        <v>172</v>
      </c>
      <c r="B114" s="2" t="s">
        <v>311</v>
      </c>
      <c r="C114" s="2" t="s">
        <v>311</v>
      </c>
      <c r="D114" s="2" cm="1">
        <f t="array" ref="D114">IF(C114="Excellent",4,IF(C114="Good",3,IF(C114="Average",2,IF(C114="Poor",1,Unknown))))</f>
        <v>4</v>
      </c>
      <c r="E114" s="2" t="str">
        <f t="shared" si="1"/>
        <v>Positive</v>
      </c>
    </row>
    <row r="115" spans="1:5" x14ac:dyDescent="0.3">
      <c r="A115" s="2" t="s">
        <v>703</v>
      </c>
      <c r="B115" s="2" t="s">
        <v>311</v>
      </c>
      <c r="C115" s="2" t="s">
        <v>311</v>
      </c>
      <c r="D115" s="2" cm="1">
        <f t="array" ref="D115">IF(C115="Excellent",4,IF(C115="Good",3,IF(C115="Average",2,IF(C115="Poor",1,Unknown))))</f>
        <v>4</v>
      </c>
      <c r="E115" s="2" t="str">
        <f t="shared" si="1"/>
        <v>Positive</v>
      </c>
    </row>
    <row r="116" spans="1:5" x14ac:dyDescent="0.3">
      <c r="A116" s="2" t="s">
        <v>867</v>
      </c>
      <c r="B116" s="2" t="s">
        <v>311</v>
      </c>
      <c r="C116" s="2" t="s">
        <v>311</v>
      </c>
      <c r="D116" s="2" cm="1">
        <f t="array" ref="D116">IF(C116="Excellent",4,IF(C116="Good",3,IF(C116="Average",2,IF(C116="Poor",1,Unknown))))</f>
        <v>4</v>
      </c>
      <c r="E116" s="2" t="str">
        <f t="shared" si="1"/>
        <v>Positive</v>
      </c>
    </row>
    <row r="117" spans="1:5" x14ac:dyDescent="0.3">
      <c r="A117" s="2" t="s">
        <v>904</v>
      </c>
      <c r="B117" s="2" t="s">
        <v>311</v>
      </c>
      <c r="C117" s="2" t="s">
        <v>311</v>
      </c>
      <c r="D117" s="2" cm="1">
        <f t="array" ref="D117">IF(C117="Excellent",4,IF(C117="Good",3,IF(C117="Average",2,IF(C117="Poor",1,Unknown))))</f>
        <v>4</v>
      </c>
      <c r="E117" s="2" t="str">
        <f t="shared" si="1"/>
        <v>Positive</v>
      </c>
    </row>
    <row r="118" spans="1:5" x14ac:dyDescent="0.3">
      <c r="A118" s="2" t="s">
        <v>884</v>
      </c>
      <c r="B118" s="2" t="s">
        <v>311</v>
      </c>
      <c r="C118" s="2" t="s">
        <v>311</v>
      </c>
      <c r="D118" s="2" cm="1">
        <f t="array" ref="D118">IF(C118="Excellent",4,IF(C118="Good",3,IF(C118="Average",2,IF(C118="Poor",1,Unknown))))</f>
        <v>4</v>
      </c>
      <c r="E118" s="2" t="str">
        <f t="shared" si="1"/>
        <v>Positive</v>
      </c>
    </row>
    <row r="119" spans="1:5" x14ac:dyDescent="0.3">
      <c r="A119" s="2" t="s">
        <v>681</v>
      </c>
      <c r="B119" s="2" t="s">
        <v>311</v>
      </c>
      <c r="C119" s="2" t="s">
        <v>311</v>
      </c>
      <c r="D119" s="2" cm="1">
        <f t="array" ref="D119">IF(C119="Excellent",4,IF(C119="Good",3,IF(C119="Average",2,IF(C119="Poor",1,Unknown))))</f>
        <v>4</v>
      </c>
      <c r="E119" s="2" t="str">
        <f t="shared" si="1"/>
        <v>Positive</v>
      </c>
    </row>
    <row r="120" spans="1:5" x14ac:dyDescent="0.3">
      <c r="A120" s="2" t="s">
        <v>828</v>
      </c>
      <c r="B120" s="2" t="s">
        <v>311</v>
      </c>
      <c r="C120" s="2" t="s">
        <v>311</v>
      </c>
      <c r="D120" s="2" cm="1">
        <f t="array" ref="D120">IF(C120="Excellent",4,IF(C120="Good",3,IF(C120="Average",2,IF(C120="Poor",1,Unknown))))</f>
        <v>4</v>
      </c>
      <c r="E120" s="2" t="str">
        <f t="shared" si="1"/>
        <v>Positive</v>
      </c>
    </row>
    <row r="121" spans="1:5" x14ac:dyDescent="0.3">
      <c r="A121" s="2" t="s">
        <v>730</v>
      </c>
      <c r="B121" s="2" t="s">
        <v>311</v>
      </c>
      <c r="C121" s="2" t="s">
        <v>311</v>
      </c>
      <c r="D121" s="2" cm="1">
        <f t="array" ref="D121">IF(C121="Excellent",4,IF(C121="Good",3,IF(C121="Average",2,IF(C121="Poor",1,Unknown))))</f>
        <v>4</v>
      </c>
      <c r="E121" s="2" t="str">
        <f t="shared" si="1"/>
        <v>Positive</v>
      </c>
    </row>
    <row r="122" spans="1:5" x14ac:dyDescent="0.3">
      <c r="A122" s="2" t="s">
        <v>820</v>
      </c>
      <c r="B122" s="2" t="s">
        <v>311</v>
      </c>
      <c r="C122" s="2" t="s">
        <v>311</v>
      </c>
      <c r="D122" s="2" cm="1">
        <f t="array" ref="D122">IF(C122="Excellent",4,IF(C122="Good",3,IF(C122="Average",2,IF(C122="Poor",1,Unknown))))</f>
        <v>4</v>
      </c>
      <c r="E122" s="2" t="str">
        <f t="shared" si="1"/>
        <v>Positive</v>
      </c>
    </row>
    <row r="123" spans="1:5" x14ac:dyDescent="0.3">
      <c r="A123" s="2" t="s">
        <v>685</v>
      </c>
      <c r="B123" s="2" t="s">
        <v>311</v>
      </c>
      <c r="C123" s="2" t="s">
        <v>311</v>
      </c>
      <c r="D123" s="2" cm="1">
        <f t="array" ref="D123">IF(C123="Excellent",4,IF(C123="Good",3,IF(C123="Average",2,IF(C123="Poor",1,Unknown))))</f>
        <v>4</v>
      </c>
      <c r="E123" s="2" t="str">
        <f t="shared" si="1"/>
        <v>Positive</v>
      </c>
    </row>
    <row r="124" spans="1:5" x14ac:dyDescent="0.3">
      <c r="A124" s="2" t="s">
        <v>874</v>
      </c>
      <c r="B124" s="2" t="s">
        <v>311</v>
      </c>
      <c r="C124" s="2" t="s">
        <v>311</v>
      </c>
      <c r="D124" s="2" cm="1">
        <f t="array" ref="D124">IF(C124="Excellent",4,IF(C124="Good",3,IF(C124="Average",2,IF(C124="Poor",1,Unknown))))</f>
        <v>4</v>
      </c>
      <c r="E124" s="2" t="str">
        <f t="shared" si="1"/>
        <v>Positive</v>
      </c>
    </row>
    <row r="125" spans="1:5" x14ac:dyDescent="0.3">
      <c r="A125" s="2" t="s">
        <v>697</v>
      </c>
      <c r="B125" s="2" t="s">
        <v>311</v>
      </c>
      <c r="C125" s="2" t="s">
        <v>311</v>
      </c>
      <c r="D125" s="2" cm="1">
        <f t="array" ref="D125">IF(C125="Excellent",4,IF(C125="Good",3,IF(C125="Average",2,IF(C125="Poor",1,Unknown))))</f>
        <v>4</v>
      </c>
      <c r="E125" s="2" t="str">
        <f t="shared" si="1"/>
        <v>Positive</v>
      </c>
    </row>
    <row r="126" spans="1:5" x14ac:dyDescent="0.3">
      <c r="A126" s="2" t="s">
        <v>665</v>
      </c>
      <c r="B126" s="2" t="s">
        <v>311</v>
      </c>
      <c r="C126" s="2" t="s">
        <v>311</v>
      </c>
      <c r="D126" s="2" cm="1">
        <f t="array" ref="D126">IF(C126="Excellent",4,IF(C126="Good",3,IF(C126="Average",2,IF(C126="Poor",1,Unknown))))</f>
        <v>4</v>
      </c>
      <c r="E126" s="2" t="str">
        <f t="shared" si="1"/>
        <v>Positive</v>
      </c>
    </row>
    <row r="127" spans="1:5" x14ac:dyDescent="0.3">
      <c r="A127" s="2" t="s">
        <v>915</v>
      </c>
      <c r="B127" s="2" t="s">
        <v>311</v>
      </c>
      <c r="C127" s="2" t="s">
        <v>311</v>
      </c>
      <c r="D127" s="2" cm="1">
        <f t="array" ref="D127">IF(C127="Excellent",4,IF(C127="Good",3,IF(C127="Average",2,IF(C127="Poor",1,Unknown))))</f>
        <v>4</v>
      </c>
      <c r="E127" s="2" t="str">
        <f t="shared" si="1"/>
        <v>Positive</v>
      </c>
    </row>
    <row r="128" spans="1:5" x14ac:dyDescent="0.3">
      <c r="A128" s="2" t="s">
        <v>908</v>
      </c>
      <c r="B128" s="2" t="s">
        <v>311</v>
      </c>
      <c r="C128" s="2" t="s">
        <v>311</v>
      </c>
      <c r="D128" s="2" cm="1">
        <f t="array" ref="D128">IF(C128="Excellent",4,IF(C128="Good",3,IF(C128="Average",2,IF(C128="Poor",1,Unknown))))</f>
        <v>4</v>
      </c>
      <c r="E128" s="2" t="str">
        <f t="shared" si="1"/>
        <v>Positive</v>
      </c>
    </row>
    <row r="129" spans="1:5" x14ac:dyDescent="0.3">
      <c r="A129" s="2" t="s">
        <v>857</v>
      </c>
      <c r="B129" s="2" t="s">
        <v>311</v>
      </c>
      <c r="C129" s="2" t="s">
        <v>311</v>
      </c>
      <c r="D129" s="2" cm="1">
        <f t="array" ref="D129">IF(C129="Excellent",4,IF(C129="Good",3,IF(C129="Average",2,IF(C129="Poor",1,Unknown))))</f>
        <v>4</v>
      </c>
      <c r="E129" s="2" t="str">
        <f t="shared" si="1"/>
        <v>Positive</v>
      </c>
    </row>
    <row r="130" spans="1:5" x14ac:dyDescent="0.3">
      <c r="A130" s="2" t="s">
        <v>663</v>
      </c>
      <c r="B130" s="2" t="s">
        <v>311</v>
      </c>
      <c r="C130" s="2" t="s">
        <v>311</v>
      </c>
      <c r="D130" s="2" cm="1">
        <f t="array" ref="D130">IF(C130="Excellent",4,IF(C130="Good",3,IF(C130="Average",2,IF(C130="Poor",1,Unknown))))</f>
        <v>4</v>
      </c>
      <c r="E130" s="2" t="str">
        <f t="shared" si="1"/>
        <v>Positive</v>
      </c>
    </row>
    <row r="131" spans="1:5" x14ac:dyDescent="0.3">
      <c r="A131" s="2" t="s">
        <v>914</v>
      </c>
      <c r="B131" s="2" t="s">
        <v>311</v>
      </c>
      <c r="C131" s="2" t="s">
        <v>311</v>
      </c>
      <c r="D131" s="2" cm="1">
        <f t="array" ref="D131">IF(C131="Excellent",4,IF(C131="Good",3,IF(C131="Average",2,IF(C131="Poor",1,Unknown))))</f>
        <v>4</v>
      </c>
      <c r="E131" s="2" t="str">
        <f t="shared" ref="E131:E194" si="2">IF(OR(C131="Average",C131="Poor"),"Nuetral/Negative","Positive")</f>
        <v>Positive</v>
      </c>
    </row>
    <row r="132" spans="1:5" x14ac:dyDescent="0.3">
      <c r="A132" s="2" t="s">
        <v>678</v>
      </c>
      <c r="B132" s="2" t="s">
        <v>311</v>
      </c>
      <c r="C132" s="2" t="s">
        <v>311</v>
      </c>
      <c r="D132" s="2" cm="1">
        <f t="array" ref="D132">IF(C132="Excellent",4,IF(C132="Good",3,IF(C132="Average",2,IF(C132="Poor",1,Unknown))))</f>
        <v>4</v>
      </c>
      <c r="E132" s="2" t="str">
        <f t="shared" si="2"/>
        <v>Positive</v>
      </c>
    </row>
    <row r="133" spans="1:5" x14ac:dyDescent="0.3">
      <c r="A133" s="2" t="s">
        <v>156</v>
      </c>
      <c r="B133" s="2" t="s">
        <v>311</v>
      </c>
      <c r="C133" s="2" t="s">
        <v>311</v>
      </c>
      <c r="D133" s="2" cm="1">
        <f t="array" ref="D133">IF(C133="Excellent",4,IF(C133="Good",3,IF(C133="Average",2,IF(C133="Poor",1,Unknown))))</f>
        <v>4</v>
      </c>
      <c r="E133" s="2" t="str">
        <f t="shared" si="2"/>
        <v>Positive</v>
      </c>
    </row>
    <row r="134" spans="1:5" x14ac:dyDescent="0.3">
      <c r="A134" s="2" t="s">
        <v>787</v>
      </c>
      <c r="B134" s="2" t="s">
        <v>311</v>
      </c>
      <c r="C134" s="2" t="s">
        <v>311</v>
      </c>
      <c r="D134" s="2" cm="1">
        <f t="array" ref="D134">IF(C134="Excellent",4,IF(C134="Good",3,IF(C134="Average",2,IF(C134="Poor",1,Unknown))))</f>
        <v>4</v>
      </c>
      <c r="E134" s="2" t="str">
        <f t="shared" si="2"/>
        <v>Positive</v>
      </c>
    </row>
    <row r="135" spans="1:5" x14ac:dyDescent="0.3">
      <c r="A135" s="2" t="s">
        <v>180</v>
      </c>
      <c r="B135" s="2" t="s">
        <v>311</v>
      </c>
      <c r="C135" s="2" t="s">
        <v>311</v>
      </c>
      <c r="D135" s="2" cm="1">
        <f t="array" ref="D135">IF(C135="Excellent",4,IF(C135="Good",3,IF(C135="Average",2,IF(C135="Poor",1,Unknown))))</f>
        <v>4</v>
      </c>
      <c r="E135" s="2" t="str">
        <f t="shared" si="2"/>
        <v>Positive</v>
      </c>
    </row>
    <row r="136" spans="1:5" x14ac:dyDescent="0.3">
      <c r="A136" s="2" t="s">
        <v>185</v>
      </c>
      <c r="B136" s="2" t="s">
        <v>311</v>
      </c>
      <c r="C136" s="2" t="s">
        <v>311</v>
      </c>
      <c r="D136" s="2" cm="1">
        <f t="array" ref="D136">IF(C136="Excellent",4,IF(C136="Good",3,IF(C136="Average",2,IF(C136="Poor",1,Unknown))))</f>
        <v>4</v>
      </c>
      <c r="E136" s="2" t="str">
        <f t="shared" si="2"/>
        <v>Positive</v>
      </c>
    </row>
    <row r="137" spans="1:5" x14ac:dyDescent="0.3">
      <c r="A137" s="2" t="s">
        <v>947</v>
      </c>
      <c r="B137" s="2" t="s">
        <v>311</v>
      </c>
      <c r="C137" s="2" t="s">
        <v>311</v>
      </c>
      <c r="D137" s="2" cm="1">
        <f t="array" ref="D137">IF(C137="Excellent",4,IF(C137="Good",3,IF(C137="Average",2,IF(C137="Poor",1,Unknown))))</f>
        <v>4</v>
      </c>
      <c r="E137" s="2" t="str">
        <f t="shared" si="2"/>
        <v>Positive</v>
      </c>
    </row>
    <row r="138" spans="1:5" x14ac:dyDescent="0.3">
      <c r="A138" s="2" t="s">
        <v>875</v>
      </c>
      <c r="B138" s="2" t="s">
        <v>311</v>
      </c>
      <c r="C138" s="2" t="s">
        <v>311</v>
      </c>
      <c r="D138" s="2" cm="1">
        <f t="array" ref="D138">IF(C138="Excellent",4,IF(C138="Good",3,IF(C138="Average",2,IF(C138="Poor",1,Unknown))))</f>
        <v>4</v>
      </c>
      <c r="E138" s="2" t="str">
        <f t="shared" si="2"/>
        <v>Positive</v>
      </c>
    </row>
    <row r="139" spans="1:5" x14ac:dyDescent="0.3">
      <c r="A139" s="2" t="s">
        <v>171</v>
      </c>
      <c r="B139" s="2" t="s">
        <v>311</v>
      </c>
      <c r="C139" s="2" t="s">
        <v>311</v>
      </c>
      <c r="D139" s="2" cm="1">
        <f t="array" ref="D139">IF(C139="Excellent",4,IF(C139="Good",3,IF(C139="Average",2,IF(C139="Poor",1,Unknown))))</f>
        <v>4</v>
      </c>
      <c r="E139" s="2" t="str">
        <f t="shared" si="2"/>
        <v>Positive</v>
      </c>
    </row>
    <row r="140" spans="1:5" x14ac:dyDescent="0.3">
      <c r="A140" s="2" t="s">
        <v>770</v>
      </c>
      <c r="B140" s="2" t="s">
        <v>311</v>
      </c>
      <c r="C140" s="2" t="s">
        <v>311</v>
      </c>
      <c r="D140" s="2" cm="1">
        <f t="array" ref="D140">IF(C140="Excellent",4,IF(C140="Good",3,IF(C140="Average",2,IF(C140="Poor",1,Unknown))))</f>
        <v>4</v>
      </c>
      <c r="E140" s="2" t="str">
        <f t="shared" si="2"/>
        <v>Positive</v>
      </c>
    </row>
    <row r="141" spans="1:5" x14ac:dyDescent="0.3">
      <c r="A141" s="2" t="s">
        <v>809</v>
      </c>
      <c r="B141" s="2" t="s">
        <v>311</v>
      </c>
      <c r="C141" s="2" t="s">
        <v>311</v>
      </c>
      <c r="D141" s="2" cm="1">
        <f t="array" ref="D141">IF(C141="Excellent",4,IF(C141="Good",3,IF(C141="Average",2,IF(C141="Poor",1,Unknown))))</f>
        <v>4</v>
      </c>
      <c r="E141" s="2" t="str">
        <f t="shared" si="2"/>
        <v>Positive</v>
      </c>
    </row>
    <row r="142" spans="1:5" x14ac:dyDescent="0.3">
      <c r="A142" s="2" t="s">
        <v>153</v>
      </c>
      <c r="B142" s="2" t="s">
        <v>311</v>
      </c>
      <c r="C142" s="2" t="s">
        <v>311</v>
      </c>
      <c r="D142" s="2" cm="1">
        <f t="array" ref="D142">IF(C142="Excellent",4,IF(C142="Good",3,IF(C142="Average",2,IF(C142="Poor",1,Unknown))))</f>
        <v>4</v>
      </c>
      <c r="E142" s="2" t="str">
        <f t="shared" si="2"/>
        <v>Positive</v>
      </c>
    </row>
    <row r="143" spans="1:5" x14ac:dyDescent="0.3">
      <c r="A143" s="2" t="s">
        <v>855</v>
      </c>
      <c r="B143" s="2" t="s">
        <v>311</v>
      </c>
      <c r="C143" s="2" t="s">
        <v>311</v>
      </c>
      <c r="D143" s="2" cm="1">
        <f t="array" ref="D143">IF(C143="Excellent",4,IF(C143="Good",3,IF(C143="Average",2,IF(C143="Poor",1,Unknown))))</f>
        <v>4</v>
      </c>
      <c r="E143" s="2" t="str">
        <f t="shared" si="2"/>
        <v>Positive</v>
      </c>
    </row>
    <row r="144" spans="1:5" x14ac:dyDescent="0.3">
      <c r="A144" s="2" t="s">
        <v>679</v>
      </c>
      <c r="B144" s="2" t="s">
        <v>311</v>
      </c>
      <c r="C144" s="2" t="s">
        <v>311</v>
      </c>
      <c r="D144" s="2" cm="1">
        <f t="array" ref="D144">IF(C144="Excellent",4,IF(C144="Good",3,IF(C144="Average",2,IF(C144="Poor",1,Unknown))))</f>
        <v>4</v>
      </c>
      <c r="E144" s="2" t="str">
        <f t="shared" si="2"/>
        <v>Positive</v>
      </c>
    </row>
    <row r="145" spans="1:5" x14ac:dyDescent="0.3">
      <c r="A145" s="2" t="s">
        <v>1113</v>
      </c>
      <c r="B145" s="2" t="s">
        <v>311</v>
      </c>
      <c r="C145" s="2" t="s">
        <v>311</v>
      </c>
      <c r="D145" s="2" cm="1">
        <f t="array" ref="D145">IF(C145="Excellent",4,IF(C145="Good",3,IF(C145="Average",2,IF(C145="Poor",1,Unknown))))</f>
        <v>4</v>
      </c>
      <c r="E145" s="2" t="str">
        <f t="shared" si="2"/>
        <v>Positive</v>
      </c>
    </row>
    <row r="146" spans="1:5" x14ac:dyDescent="0.3">
      <c r="A146" s="2" t="s">
        <v>1107</v>
      </c>
      <c r="B146" s="2" t="s">
        <v>311</v>
      </c>
      <c r="C146" s="2" t="s">
        <v>311</v>
      </c>
      <c r="D146" s="2" cm="1">
        <f t="array" ref="D146">IF(C146="Excellent",4,IF(C146="Good",3,IF(C146="Average",2,IF(C146="Poor",1,Unknown))))</f>
        <v>4</v>
      </c>
      <c r="E146" s="2" t="str">
        <f t="shared" si="2"/>
        <v>Positive</v>
      </c>
    </row>
    <row r="147" spans="1:5" x14ac:dyDescent="0.3">
      <c r="A147" s="2" t="s">
        <v>686</v>
      </c>
      <c r="B147" s="2" t="s">
        <v>311</v>
      </c>
      <c r="C147" s="2" t="s">
        <v>311</v>
      </c>
      <c r="D147" s="2" cm="1">
        <f t="array" ref="D147">IF(C147="Excellent",4,IF(C147="Good",3,IF(C147="Average",2,IF(C147="Poor",1,Unknown))))</f>
        <v>4</v>
      </c>
      <c r="E147" s="2" t="str">
        <f t="shared" si="2"/>
        <v>Positive</v>
      </c>
    </row>
    <row r="148" spans="1:5" x14ac:dyDescent="0.3">
      <c r="A148" s="2" t="s">
        <v>872</v>
      </c>
      <c r="B148" s="2" t="s">
        <v>311</v>
      </c>
      <c r="C148" s="2" t="s">
        <v>311</v>
      </c>
      <c r="D148" s="2" cm="1">
        <f t="array" ref="D148">IF(C148="Excellent",4,IF(C148="Good",3,IF(C148="Average",2,IF(C148="Poor",1,Unknown))))</f>
        <v>4</v>
      </c>
      <c r="E148" s="2" t="str">
        <f t="shared" si="2"/>
        <v>Positive</v>
      </c>
    </row>
    <row r="149" spans="1:5" x14ac:dyDescent="0.3">
      <c r="A149" s="2" t="s">
        <v>197</v>
      </c>
      <c r="B149" s="2" t="s">
        <v>311</v>
      </c>
      <c r="C149" s="2" t="s">
        <v>311</v>
      </c>
      <c r="D149" s="2" cm="1">
        <f t="array" ref="D149">IF(C149="Excellent",4,IF(C149="Good",3,IF(C149="Average",2,IF(C149="Poor",1,Unknown))))</f>
        <v>4</v>
      </c>
      <c r="E149" s="2" t="str">
        <f t="shared" si="2"/>
        <v>Positive</v>
      </c>
    </row>
    <row r="150" spans="1:5" x14ac:dyDescent="0.3">
      <c r="A150" s="2" t="s">
        <v>225</v>
      </c>
      <c r="B150" s="2" t="s">
        <v>311</v>
      </c>
      <c r="C150" s="2" t="s">
        <v>311</v>
      </c>
      <c r="D150" s="2" cm="1">
        <f t="array" ref="D150">IF(C150="Excellent",4,IF(C150="Good",3,IF(C150="Average",2,IF(C150="Poor",1,Unknown))))</f>
        <v>4</v>
      </c>
      <c r="E150" s="2" t="str">
        <f t="shared" si="2"/>
        <v>Positive</v>
      </c>
    </row>
    <row r="151" spans="1:5" x14ac:dyDescent="0.3">
      <c r="A151" s="2" t="s">
        <v>923</v>
      </c>
      <c r="B151" s="2" t="s">
        <v>311</v>
      </c>
      <c r="C151" s="2" t="s">
        <v>311</v>
      </c>
      <c r="D151" s="2" cm="1">
        <f t="array" ref="D151">IF(C151="Excellent",4,IF(C151="Good",3,IF(C151="Average",2,IF(C151="Poor",1,Unknown))))</f>
        <v>4</v>
      </c>
      <c r="E151" s="2" t="str">
        <f t="shared" si="2"/>
        <v>Positive</v>
      </c>
    </row>
    <row r="152" spans="1:5" x14ac:dyDescent="0.3">
      <c r="A152" s="2" t="s">
        <v>850</v>
      </c>
      <c r="B152" s="2" t="s">
        <v>311</v>
      </c>
      <c r="C152" s="2" t="s">
        <v>311</v>
      </c>
      <c r="D152" s="2" cm="1">
        <f t="array" ref="D152">IF(C152="Excellent",4,IF(C152="Good",3,IF(C152="Average",2,IF(C152="Poor",1,Unknown))))</f>
        <v>4</v>
      </c>
      <c r="E152" s="2" t="str">
        <f t="shared" si="2"/>
        <v>Positive</v>
      </c>
    </row>
    <row r="153" spans="1:5" x14ac:dyDescent="0.3">
      <c r="A153" s="2" t="s">
        <v>161</v>
      </c>
      <c r="B153" s="2" t="s">
        <v>311</v>
      </c>
      <c r="C153" s="2" t="s">
        <v>311</v>
      </c>
      <c r="D153" s="2" cm="1">
        <f t="array" ref="D153">IF(C153="Excellent",4,IF(C153="Good",3,IF(C153="Average",2,IF(C153="Poor",1,Unknown))))</f>
        <v>4</v>
      </c>
      <c r="E153" s="2" t="str">
        <f t="shared" si="2"/>
        <v>Positive</v>
      </c>
    </row>
    <row r="154" spans="1:5" x14ac:dyDescent="0.3">
      <c r="A154" s="2" t="s">
        <v>199</v>
      </c>
      <c r="B154" s="2" t="s">
        <v>311</v>
      </c>
      <c r="C154" s="2" t="s">
        <v>311</v>
      </c>
      <c r="D154" s="2" cm="1">
        <f t="array" ref="D154">IF(C154="Excellent",4,IF(C154="Good",3,IF(C154="Average",2,IF(C154="Poor",1,Unknown))))</f>
        <v>4</v>
      </c>
      <c r="E154" s="2" t="str">
        <f t="shared" si="2"/>
        <v>Positive</v>
      </c>
    </row>
    <row r="155" spans="1:5" x14ac:dyDescent="0.3">
      <c r="A155" s="2" t="s">
        <v>891</v>
      </c>
      <c r="B155" s="2" t="s">
        <v>311</v>
      </c>
      <c r="C155" s="2" t="s">
        <v>311</v>
      </c>
      <c r="D155" s="2" cm="1">
        <f t="array" ref="D155">IF(C155="Excellent",4,IF(C155="Good",3,IF(C155="Average",2,IF(C155="Poor",1,Unknown))))</f>
        <v>4</v>
      </c>
      <c r="E155" s="2" t="str">
        <f t="shared" si="2"/>
        <v>Positive</v>
      </c>
    </row>
    <row r="156" spans="1:5" x14ac:dyDescent="0.3">
      <c r="A156" s="2" t="s">
        <v>178</v>
      </c>
      <c r="B156" s="2" t="s">
        <v>311</v>
      </c>
      <c r="C156" s="2" t="s">
        <v>311</v>
      </c>
      <c r="D156" s="2" cm="1">
        <f t="array" ref="D156">IF(C156="Excellent",4,IF(C156="Good",3,IF(C156="Average",2,IF(C156="Poor",1,Unknown))))</f>
        <v>4</v>
      </c>
      <c r="E156" s="2" t="str">
        <f t="shared" si="2"/>
        <v>Positive</v>
      </c>
    </row>
    <row r="157" spans="1:5" x14ac:dyDescent="0.3">
      <c r="A157" s="2" t="s">
        <v>921</v>
      </c>
      <c r="B157" s="2" t="s">
        <v>311</v>
      </c>
      <c r="C157" s="2" t="s">
        <v>311</v>
      </c>
      <c r="D157" s="2" cm="1">
        <f t="array" ref="D157">IF(C157="Excellent",4,IF(C157="Good",3,IF(C157="Average",2,IF(C157="Poor",1,Unknown))))</f>
        <v>4</v>
      </c>
      <c r="E157" s="2" t="str">
        <f t="shared" si="2"/>
        <v>Positive</v>
      </c>
    </row>
    <row r="158" spans="1:5" x14ac:dyDescent="0.3">
      <c r="A158" s="2" t="s">
        <v>157</v>
      </c>
      <c r="B158" s="2" t="s">
        <v>311</v>
      </c>
      <c r="C158" s="2" t="s">
        <v>311</v>
      </c>
      <c r="D158" s="2" cm="1">
        <f t="array" ref="D158">IF(C158="Excellent",4,IF(C158="Good",3,IF(C158="Average",2,IF(C158="Poor",1,Unknown))))</f>
        <v>4</v>
      </c>
      <c r="E158" s="2" t="str">
        <f t="shared" si="2"/>
        <v>Positive</v>
      </c>
    </row>
    <row r="159" spans="1:5" x14ac:dyDescent="0.3">
      <c r="A159" s="2" t="s">
        <v>729</v>
      </c>
      <c r="B159" s="2" t="s">
        <v>311</v>
      </c>
      <c r="C159" s="2" t="s">
        <v>311</v>
      </c>
      <c r="D159" s="2" cm="1">
        <f t="array" ref="D159">IF(C159="Excellent",4,IF(C159="Good",3,IF(C159="Average",2,IF(C159="Poor",1,Unknown))))</f>
        <v>4</v>
      </c>
      <c r="E159" s="2" t="str">
        <f t="shared" si="2"/>
        <v>Positive</v>
      </c>
    </row>
    <row r="160" spans="1:5" x14ac:dyDescent="0.3">
      <c r="A160" s="2" t="s">
        <v>732</v>
      </c>
      <c r="B160" s="2" t="s">
        <v>311</v>
      </c>
      <c r="C160" s="2" t="s">
        <v>311</v>
      </c>
      <c r="D160" s="2" cm="1">
        <f t="array" ref="D160">IF(C160="Excellent",4,IF(C160="Good",3,IF(C160="Average",2,IF(C160="Poor",1,Unknown))))</f>
        <v>4</v>
      </c>
      <c r="E160" s="2" t="str">
        <f t="shared" si="2"/>
        <v>Positive</v>
      </c>
    </row>
    <row r="161" spans="1:5" x14ac:dyDescent="0.3">
      <c r="A161" s="2" t="s">
        <v>165</v>
      </c>
      <c r="B161" s="2" t="s">
        <v>311</v>
      </c>
      <c r="C161" s="2" t="s">
        <v>311</v>
      </c>
      <c r="D161" s="2" cm="1">
        <f t="array" ref="D161">IF(C161="Excellent",4,IF(C161="Good",3,IF(C161="Average",2,IF(C161="Poor",1,Unknown))))</f>
        <v>4</v>
      </c>
      <c r="E161" s="2" t="str">
        <f t="shared" si="2"/>
        <v>Positive</v>
      </c>
    </row>
    <row r="162" spans="1:5" x14ac:dyDescent="0.3">
      <c r="A162" s="2" t="s">
        <v>174</v>
      </c>
      <c r="B162" s="2" t="s">
        <v>311</v>
      </c>
      <c r="C162" s="2" t="s">
        <v>311</v>
      </c>
      <c r="D162" s="2" cm="1">
        <f t="array" ref="D162">IF(C162="Excellent",4,IF(C162="Good",3,IF(C162="Average",2,IF(C162="Poor",1,Unknown))))</f>
        <v>4</v>
      </c>
      <c r="E162" s="2" t="str">
        <f t="shared" si="2"/>
        <v>Positive</v>
      </c>
    </row>
    <row r="163" spans="1:5" x14ac:dyDescent="0.3">
      <c r="A163" s="2" t="s">
        <v>928</v>
      </c>
      <c r="B163" s="2" t="s">
        <v>311</v>
      </c>
      <c r="C163" s="2" t="s">
        <v>311</v>
      </c>
      <c r="D163" s="2" cm="1">
        <f t="array" ref="D163">IF(C163="Excellent",4,IF(C163="Good",3,IF(C163="Average",2,IF(C163="Poor",1,Unknown))))</f>
        <v>4</v>
      </c>
      <c r="E163" s="2" t="str">
        <f t="shared" si="2"/>
        <v>Positive</v>
      </c>
    </row>
    <row r="164" spans="1:5" x14ac:dyDescent="0.3">
      <c r="A164" s="2" t="s">
        <v>864</v>
      </c>
      <c r="B164" s="2" t="s">
        <v>311</v>
      </c>
      <c r="C164" s="2" t="s">
        <v>311</v>
      </c>
      <c r="D164" s="2" cm="1">
        <f t="array" ref="D164">IF(C164="Excellent",4,IF(C164="Good",3,IF(C164="Average",2,IF(C164="Poor",1,Unknown))))</f>
        <v>4</v>
      </c>
      <c r="E164" s="2" t="str">
        <f t="shared" si="2"/>
        <v>Positive</v>
      </c>
    </row>
    <row r="165" spans="1:5" x14ac:dyDescent="0.3">
      <c r="A165" s="2" t="s">
        <v>721</v>
      </c>
      <c r="B165" s="2" t="s">
        <v>311</v>
      </c>
      <c r="C165" s="2" t="s">
        <v>311</v>
      </c>
      <c r="D165" s="2" cm="1">
        <f t="array" ref="D165">IF(C165="Excellent",4,IF(C165="Good",3,IF(C165="Average",2,IF(C165="Poor",1,Unknown))))</f>
        <v>4</v>
      </c>
      <c r="E165" s="2" t="str">
        <f t="shared" si="2"/>
        <v>Positive</v>
      </c>
    </row>
    <row r="166" spans="1:5" x14ac:dyDescent="0.3">
      <c r="A166" s="2" t="s">
        <v>750</v>
      </c>
      <c r="B166" s="2" t="s">
        <v>311</v>
      </c>
      <c r="C166" s="2" t="s">
        <v>311</v>
      </c>
      <c r="D166" s="2" cm="1">
        <f t="array" ref="D166">IF(C166="Excellent",4,IF(C166="Good",3,IF(C166="Average",2,IF(C166="Poor",1,Unknown))))</f>
        <v>4</v>
      </c>
      <c r="E166" s="2" t="str">
        <f t="shared" si="2"/>
        <v>Positive</v>
      </c>
    </row>
    <row r="167" spans="1:5" x14ac:dyDescent="0.3">
      <c r="A167" s="2" t="s">
        <v>769</v>
      </c>
      <c r="B167" s="2" t="s">
        <v>311</v>
      </c>
      <c r="C167" s="2" t="s">
        <v>311</v>
      </c>
      <c r="D167" s="2" cm="1">
        <f t="array" ref="D167">IF(C167="Excellent",4,IF(C167="Good",3,IF(C167="Average",2,IF(C167="Poor",1,Unknown))))</f>
        <v>4</v>
      </c>
      <c r="E167" s="2" t="str">
        <f t="shared" si="2"/>
        <v>Positive</v>
      </c>
    </row>
    <row r="168" spans="1:5" x14ac:dyDescent="0.3">
      <c r="A168" s="2" t="s">
        <v>723</v>
      </c>
      <c r="B168" s="2" t="s">
        <v>311</v>
      </c>
      <c r="C168" s="2" t="s">
        <v>311</v>
      </c>
      <c r="D168" s="2" cm="1">
        <f t="array" ref="D168">IF(C168="Excellent",4,IF(C168="Good",3,IF(C168="Average",2,IF(C168="Poor",1,Unknown))))</f>
        <v>4</v>
      </c>
      <c r="E168" s="2" t="str">
        <f t="shared" si="2"/>
        <v>Positive</v>
      </c>
    </row>
    <row r="169" spans="1:5" x14ac:dyDescent="0.3">
      <c r="A169" s="2" t="s">
        <v>824</v>
      </c>
      <c r="B169" s="2" t="s">
        <v>311</v>
      </c>
      <c r="C169" s="2" t="s">
        <v>311</v>
      </c>
      <c r="D169" s="2" cm="1">
        <f t="array" ref="D169">IF(C169="Excellent",4,IF(C169="Good",3,IF(C169="Average",2,IF(C169="Poor",1,Unknown))))</f>
        <v>4</v>
      </c>
      <c r="E169" s="2" t="str">
        <f t="shared" si="2"/>
        <v>Positive</v>
      </c>
    </row>
    <row r="170" spans="1:5" x14ac:dyDescent="0.3">
      <c r="A170" s="2" t="s">
        <v>907</v>
      </c>
      <c r="B170" s="2" t="s">
        <v>311</v>
      </c>
      <c r="C170" s="2" t="s">
        <v>311</v>
      </c>
      <c r="D170" s="2" cm="1">
        <f t="array" ref="D170">IF(C170="Excellent",4,IF(C170="Good",3,IF(C170="Average",2,IF(C170="Poor",1,Unknown))))</f>
        <v>4</v>
      </c>
      <c r="E170" s="2" t="str">
        <f t="shared" si="2"/>
        <v>Positive</v>
      </c>
    </row>
    <row r="171" spans="1:5" x14ac:dyDescent="0.3">
      <c r="A171" s="2" t="s">
        <v>758</v>
      </c>
      <c r="B171" s="2" t="s">
        <v>311</v>
      </c>
      <c r="C171" s="2" t="s">
        <v>311</v>
      </c>
      <c r="D171" s="2" cm="1">
        <f t="array" ref="D171">IF(C171="Excellent",4,IF(C171="Good",3,IF(C171="Average",2,IF(C171="Poor",1,Unknown))))</f>
        <v>4</v>
      </c>
      <c r="E171" s="2" t="str">
        <f t="shared" si="2"/>
        <v>Positive</v>
      </c>
    </row>
    <row r="172" spans="1:5" x14ac:dyDescent="0.3">
      <c r="A172" s="2" t="s">
        <v>885</v>
      </c>
      <c r="B172" s="2" t="s">
        <v>311</v>
      </c>
      <c r="C172" s="2" t="s">
        <v>311</v>
      </c>
      <c r="D172" s="2" cm="1">
        <f t="array" ref="D172">IF(C172="Excellent",4,IF(C172="Good",3,IF(C172="Average",2,IF(C172="Poor",1,Unknown))))</f>
        <v>4</v>
      </c>
      <c r="E172" s="2" t="str">
        <f t="shared" si="2"/>
        <v>Positive</v>
      </c>
    </row>
    <row r="173" spans="1:5" x14ac:dyDescent="0.3">
      <c r="A173" s="2" t="s">
        <v>187</v>
      </c>
      <c r="B173" s="2" t="s">
        <v>311</v>
      </c>
      <c r="C173" s="2" t="s">
        <v>311</v>
      </c>
      <c r="D173" s="2" cm="1">
        <f t="array" ref="D173">IF(C173="Excellent",4,IF(C173="Good",3,IF(C173="Average",2,IF(C173="Poor",1,Unknown))))</f>
        <v>4</v>
      </c>
      <c r="E173" s="2" t="str">
        <f t="shared" si="2"/>
        <v>Positive</v>
      </c>
    </row>
    <row r="174" spans="1:5" x14ac:dyDescent="0.3">
      <c r="A174" s="2" t="s">
        <v>757</v>
      </c>
      <c r="B174" s="2" t="s">
        <v>311</v>
      </c>
      <c r="C174" s="2" t="s">
        <v>311</v>
      </c>
      <c r="D174" s="2" cm="1">
        <f t="array" ref="D174">IF(C174="Excellent",4,IF(C174="Good",3,IF(C174="Average",2,IF(C174="Poor",1,Unknown))))</f>
        <v>4</v>
      </c>
      <c r="E174" s="2" t="str">
        <f t="shared" si="2"/>
        <v>Positive</v>
      </c>
    </row>
    <row r="175" spans="1:5" x14ac:dyDescent="0.3">
      <c r="A175" s="2" t="s">
        <v>728</v>
      </c>
      <c r="B175" s="2" t="s">
        <v>311</v>
      </c>
      <c r="C175" s="2" t="s">
        <v>311</v>
      </c>
      <c r="D175" s="2" cm="1">
        <f t="array" ref="D175">IF(C175="Excellent",4,IF(C175="Good",3,IF(C175="Average",2,IF(C175="Poor",1,Unknown))))</f>
        <v>4</v>
      </c>
      <c r="E175" s="2" t="str">
        <f t="shared" si="2"/>
        <v>Positive</v>
      </c>
    </row>
    <row r="176" spans="1:5" x14ac:dyDescent="0.3">
      <c r="A176" s="2" t="s">
        <v>812</v>
      </c>
      <c r="B176" s="2" t="s">
        <v>311</v>
      </c>
      <c r="C176" s="2" t="s">
        <v>311</v>
      </c>
      <c r="D176" s="2" cm="1">
        <f t="array" ref="D176">IF(C176="Excellent",4,IF(C176="Good",3,IF(C176="Average",2,IF(C176="Poor",1,Unknown))))</f>
        <v>4</v>
      </c>
      <c r="E176" s="2" t="str">
        <f t="shared" si="2"/>
        <v>Positive</v>
      </c>
    </row>
    <row r="177" spans="1:5" x14ac:dyDescent="0.3">
      <c r="A177" s="2" t="s">
        <v>224</v>
      </c>
      <c r="B177" s="2" t="s">
        <v>311</v>
      </c>
      <c r="C177" s="2" t="s">
        <v>311</v>
      </c>
      <c r="D177" s="2" cm="1">
        <f t="array" ref="D177">IF(C177="Excellent",4,IF(C177="Good",3,IF(C177="Average",2,IF(C177="Poor",1,Unknown))))</f>
        <v>4</v>
      </c>
      <c r="E177" s="2" t="str">
        <f t="shared" si="2"/>
        <v>Positive</v>
      </c>
    </row>
    <row r="178" spans="1:5" x14ac:dyDescent="0.3">
      <c r="A178" s="2" t="s">
        <v>805</v>
      </c>
      <c r="B178" s="2" t="s">
        <v>311</v>
      </c>
      <c r="C178" s="2" t="s">
        <v>311</v>
      </c>
      <c r="D178" s="2" cm="1">
        <f t="array" ref="D178">IF(C178="Excellent",4,IF(C178="Good",3,IF(C178="Average",2,IF(C178="Poor",1,Unknown))))</f>
        <v>4</v>
      </c>
      <c r="E178" s="2" t="str">
        <f t="shared" si="2"/>
        <v>Positive</v>
      </c>
    </row>
    <row r="179" spans="1:5" x14ac:dyDescent="0.3">
      <c r="A179" s="2" t="s">
        <v>903</v>
      </c>
      <c r="B179" s="2" t="s">
        <v>311</v>
      </c>
      <c r="C179" s="2" t="s">
        <v>311</v>
      </c>
      <c r="D179" s="2" cm="1">
        <f t="array" ref="D179">IF(C179="Excellent",4,IF(C179="Good",3,IF(C179="Average",2,IF(C179="Poor",1,Unknown))))</f>
        <v>4</v>
      </c>
      <c r="E179" s="2" t="str">
        <f t="shared" si="2"/>
        <v>Positive</v>
      </c>
    </row>
    <row r="180" spans="1:5" x14ac:dyDescent="0.3">
      <c r="A180" s="2" t="s">
        <v>667</v>
      </c>
      <c r="B180" s="2" t="s">
        <v>311</v>
      </c>
      <c r="C180" s="2" t="s">
        <v>311</v>
      </c>
      <c r="D180" s="2" cm="1">
        <f t="array" ref="D180">IF(C180="Excellent",4,IF(C180="Good",3,IF(C180="Average",2,IF(C180="Poor",1,Unknown))))</f>
        <v>4</v>
      </c>
      <c r="E180" s="2" t="str">
        <f t="shared" si="2"/>
        <v>Positive</v>
      </c>
    </row>
    <row r="181" spans="1:5" x14ac:dyDescent="0.3">
      <c r="A181" s="2" t="s">
        <v>806</v>
      </c>
      <c r="B181" s="2" t="s">
        <v>311</v>
      </c>
      <c r="C181" s="2" t="s">
        <v>311</v>
      </c>
      <c r="D181" s="2" cm="1">
        <f t="array" ref="D181">IF(C181="Excellent",4,IF(C181="Good",3,IF(C181="Average",2,IF(C181="Poor",1,Unknown))))</f>
        <v>4</v>
      </c>
      <c r="E181" s="2" t="str">
        <f t="shared" si="2"/>
        <v>Positive</v>
      </c>
    </row>
    <row r="182" spans="1:5" x14ac:dyDescent="0.3">
      <c r="A182" s="2" t="s">
        <v>693</v>
      </c>
      <c r="B182" s="2" t="s">
        <v>311</v>
      </c>
      <c r="C182" s="2" t="s">
        <v>311</v>
      </c>
      <c r="D182" s="2" cm="1">
        <f t="array" ref="D182">IF(C182="Excellent",4,IF(C182="Good",3,IF(C182="Average",2,IF(C182="Poor",1,Unknown))))</f>
        <v>4</v>
      </c>
      <c r="E182" s="2" t="str">
        <f t="shared" si="2"/>
        <v>Positive</v>
      </c>
    </row>
    <row r="183" spans="1:5" x14ac:dyDescent="0.3">
      <c r="A183" s="2" t="s">
        <v>827</v>
      </c>
      <c r="B183" s="2" t="s">
        <v>311</v>
      </c>
      <c r="C183" s="2" t="s">
        <v>311</v>
      </c>
      <c r="D183" s="2" cm="1">
        <f t="array" ref="D183">IF(C183="Excellent",4,IF(C183="Good",3,IF(C183="Average",2,IF(C183="Poor",1,Unknown))))</f>
        <v>4</v>
      </c>
      <c r="E183" s="2" t="str">
        <f t="shared" si="2"/>
        <v>Positive</v>
      </c>
    </row>
    <row r="184" spans="1:5" x14ac:dyDescent="0.3">
      <c r="A184" s="2" t="s">
        <v>179</v>
      </c>
      <c r="B184" s="2" t="s">
        <v>311</v>
      </c>
      <c r="C184" s="2" t="s">
        <v>311</v>
      </c>
      <c r="D184" s="2" cm="1">
        <f t="array" ref="D184">IF(C184="Excellent",4,IF(C184="Good",3,IF(C184="Average",2,IF(C184="Poor",1,Unknown))))</f>
        <v>4</v>
      </c>
      <c r="E184" s="2" t="str">
        <f t="shared" si="2"/>
        <v>Positive</v>
      </c>
    </row>
    <row r="185" spans="1:5" x14ac:dyDescent="0.3">
      <c r="A185" s="2" t="s">
        <v>852</v>
      </c>
      <c r="B185" s="2" t="s">
        <v>311</v>
      </c>
      <c r="C185" s="2" t="s">
        <v>311</v>
      </c>
      <c r="D185" s="2" cm="1">
        <f t="array" ref="D185">IF(C185="Excellent",4,IF(C185="Good",3,IF(C185="Average",2,IF(C185="Poor",1,Unknown))))</f>
        <v>4</v>
      </c>
      <c r="E185" s="2" t="str">
        <f t="shared" si="2"/>
        <v>Positive</v>
      </c>
    </row>
    <row r="186" spans="1:5" x14ac:dyDescent="0.3">
      <c r="A186" s="2" t="s">
        <v>1112</v>
      </c>
      <c r="B186" s="2" t="s">
        <v>311</v>
      </c>
      <c r="C186" s="2" t="s">
        <v>311</v>
      </c>
      <c r="D186" s="2" cm="1">
        <f t="array" ref="D186">IF(C186="Excellent",4,IF(C186="Good",3,IF(C186="Average",2,IF(C186="Poor",1,Unknown))))</f>
        <v>4</v>
      </c>
      <c r="E186" s="2" t="str">
        <f t="shared" si="2"/>
        <v>Positive</v>
      </c>
    </row>
    <row r="187" spans="1:5" x14ac:dyDescent="0.3">
      <c r="A187" s="2" t="s">
        <v>910</v>
      </c>
      <c r="B187" s="2" t="s">
        <v>311</v>
      </c>
      <c r="C187" s="2" t="s">
        <v>311</v>
      </c>
      <c r="D187" s="2" cm="1">
        <f t="array" ref="D187">IF(C187="Excellent",4,IF(C187="Good",3,IF(C187="Average",2,IF(C187="Poor",1,Unknown))))</f>
        <v>4</v>
      </c>
      <c r="E187" s="2" t="str">
        <f t="shared" si="2"/>
        <v>Positive</v>
      </c>
    </row>
    <row r="188" spans="1:5" x14ac:dyDescent="0.3">
      <c r="A188" s="2" t="s">
        <v>673</v>
      </c>
      <c r="B188" s="2" t="s">
        <v>311</v>
      </c>
      <c r="C188" s="2" t="s">
        <v>311</v>
      </c>
      <c r="D188" s="2" cm="1">
        <f t="array" ref="D188">IF(C188="Excellent",4,IF(C188="Good",3,IF(C188="Average",2,IF(C188="Poor",1,Unknown))))</f>
        <v>4</v>
      </c>
      <c r="E188" s="2" t="str">
        <f t="shared" si="2"/>
        <v>Positive</v>
      </c>
    </row>
    <row r="189" spans="1:5" x14ac:dyDescent="0.3">
      <c r="A189" s="2" t="s">
        <v>774</v>
      </c>
      <c r="B189" s="2" t="s">
        <v>311</v>
      </c>
      <c r="C189" s="2" t="s">
        <v>311</v>
      </c>
      <c r="D189" s="2" cm="1">
        <f t="array" ref="D189">IF(C189="Excellent",4,IF(C189="Good",3,IF(C189="Average",2,IF(C189="Poor",1,Unknown))))</f>
        <v>4</v>
      </c>
      <c r="E189" s="2" t="str">
        <f t="shared" si="2"/>
        <v>Positive</v>
      </c>
    </row>
    <row r="190" spans="1:5" x14ac:dyDescent="0.3">
      <c r="A190" s="2" t="s">
        <v>895</v>
      </c>
      <c r="B190" s="2" t="s">
        <v>311</v>
      </c>
      <c r="C190" s="2" t="s">
        <v>311</v>
      </c>
      <c r="D190" s="2" cm="1">
        <f t="array" ref="D190">IF(C190="Excellent",4,IF(C190="Good",3,IF(C190="Average",2,IF(C190="Poor",1,Unknown))))</f>
        <v>4</v>
      </c>
      <c r="E190" s="2" t="str">
        <f t="shared" si="2"/>
        <v>Positive</v>
      </c>
    </row>
    <row r="191" spans="1:5" x14ac:dyDescent="0.3">
      <c r="A191" s="2" t="s">
        <v>682</v>
      </c>
      <c r="B191" s="2" t="s">
        <v>311</v>
      </c>
      <c r="C191" s="2" t="s">
        <v>311</v>
      </c>
      <c r="D191" s="2" cm="1">
        <f t="array" ref="D191">IF(C191="Excellent",4,IF(C191="Good",3,IF(C191="Average",2,IF(C191="Poor",1,Unknown))))</f>
        <v>4</v>
      </c>
      <c r="E191" s="2" t="str">
        <f t="shared" si="2"/>
        <v>Positive</v>
      </c>
    </row>
    <row r="192" spans="1:5" x14ac:dyDescent="0.3">
      <c r="A192" s="2" t="s">
        <v>164</v>
      </c>
      <c r="B192" s="2" t="s">
        <v>311</v>
      </c>
      <c r="C192" s="2" t="s">
        <v>311</v>
      </c>
      <c r="D192" s="2" cm="1">
        <f t="array" ref="D192">IF(C192="Excellent",4,IF(C192="Good",3,IF(C192="Average",2,IF(C192="Poor",1,Unknown))))</f>
        <v>4</v>
      </c>
      <c r="E192" s="2" t="str">
        <f t="shared" si="2"/>
        <v>Positive</v>
      </c>
    </row>
    <row r="193" spans="1:5" x14ac:dyDescent="0.3">
      <c r="A193" s="2" t="s">
        <v>905</v>
      </c>
      <c r="B193" s="2" t="s">
        <v>311</v>
      </c>
      <c r="C193" s="2" t="s">
        <v>311</v>
      </c>
      <c r="D193" s="2" cm="1">
        <f t="array" ref="D193">IF(C193="Excellent",4,IF(C193="Good",3,IF(C193="Average",2,IF(C193="Poor",1,Unknown))))</f>
        <v>4</v>
      </c>
      <c r="E193" s="2" t="str">
        <f t="shared" si="2"/>
        <v>Positive</v>
      </c>
    </row>
    <row r="194" spans="1:5" x14ac:dyDescent="0.3">
      <c r="A194" s="2" t="s">
        <v>692</v>
      </c>
      <c r="B194" s="2" t="s">
        <v>311</v>
      </c>
      <c r="C194" s="2" t="s">
        <v>311</v>
      </c>
      <c r="D194" s="2" cm="1">
        <f t="array" ref="D194">IF(C194="Excellent",4,IF(C194="Good",3,IF(C194="Average",2,IF(C194="Poor",1,Unknown))))</f>
        <v>4</v>
      </c>
      <c r="E194" s="2" t="str">
        <f t="shared" si="2"/>
        <v>Positive</v>
      </c>
    </row>
    <row r="195" spans="1:5" x14ac:dyDescent="0.3">
      <c r="A195" s="2" t="s">
        <v>717</v>
      </c>
      <c r="B195" s="2" t="s">
        <v>311</v>
      </c>
      <c r="C195" s="2" t="s">
        <v>311</v>
      </c>
      <c r="D195" s="2" cm="1">
        <f t="array" ref="D195">IF(C195="Excellent",4,IF(C195="Good",3,IF(C195="Average",2,IF(C195="Poor",1,Unknown))))</f>
        <v>4</v>
      </c>
      <c r="E195" s="2" t="str">
        <f t="shared" ref="E195:E258" si="3">IF(OR(C195="Average",C195="Poor"),"Nuetral/Negative","Positive")</f>
        <v>Positive</v>
      </c>
    </row>
    <row r="196" spans="1:5" x14ac:dyDescent="0.3">
      <c r="A196" s="2" t="s">
        <v>710</v>
      </c>
      <c r="B196" s="2" t="s">
        <v>311</v>
      </c>
      <c r="C196" s="2" t="s">
        <v>311</v>
      </c>
      <c r="D196" s="2" cm="1">
        <f t="array" ref="D196">IF(C196="Excellent",4,IF(C196="Good",3,IF(C196="Average",2,IF(C196="Poor",1,Unknown))))</f>
        <v>4</v>
      </c>
      <c r="E196" s="2" t="str">
        <f t="shared" si="3"/>
        <v>Positive</v>
      </c>
    </row>
    <row r="197" spans="1:5" x14ac:dyDescent="0.3">
      <c r="A197" s="2" t="s">
        <v>753</v>
      </c>
      <c r="B197" s="2" t="s">
        <v>311</v>
      </c>
      <c r="C197" s="2" t="s">
        <v>311</v>
      </c>
      <c r="D197" s="2" cm="1">
        <f t="array" ref="D197">IF(C197="Excellent",4,IF(C197="Good",3,IF(C197="Average",2,IF(C197="Poor",1,Unknown))))</f>
        <v>4</v>
      </c>
      <c r="E197" s="2" t="str">
        <f t="shared" si="3"/>
        <v>Positive</v>
      </c>
    </row>
    <row r="198" spans="1:5" x14ac:dyDescent="0.3">
      <c r="A198" s="2" t="s">
        <v>136</v>
      </c>
      <c r="B198" s="2" t="s">
        <v>311</v>
      </c>
      <c r="C198" s="2" t="s">
        <v>311</v>
      </c>
      <c r="D198" s="2" cm="1">
        <f t="array" ref="D198">IF(C198="Excellent",4,IF(C198="Good",3,IF(C198="Average",2,IF(C198="Poor",1,Unknown))))</f>
        <v>4</v>
      </c>
      <c r="E198" s="2" t="str">
        <f t="shared" si="3"/>
        <v>Positive</v>
      </c>
    </row>
    <row r="199" spans="1:5" x14ac:dyDescent="0.3">
      <c r="A199" s="2" t="s">
        <v>227</v>
      </c>
      <c r="B199" s="2" t="s">
        <v>311</v>
      </c>
      <c r="C199" s="2" t="s">
        <v>311</v>
      </c>
      <c r="D199" s="2" cm="1">
        <f t="array" ref="D199">IF(C199="Excellent",4,IF(C199="Good",3,IF(C199="Average",2,IF(C199="Poor",1,Unknown))))</f>
        <v>4</v>
      </c>
      <c r="E199" s="2" t="str">
        <f t="shared" si="3"/>
        <v>Positive</v>
      </c>
    </row>
    <row r="200" spans="1:5" x14ac:dyDescent="0.3">
      <c r="A200" s="2" t="s">
        <v>207</v>
      </c>
      <c r="B200" s="2" t="s">
        <v>312</v>
      </c>
      <c r="C200" s="2" t="s">
        <v>312</v>
      </c>
      <c r="D200" s="2" cm="1">
        <f t="array" ref="D200">IF(C200="Excellent",4,IF(C200="Good",3,IF(C200="Average",2,IF(C200="Poor",1,Unknown))))</f>
        <v>3</v>
      </c>
      <c r="E200" s="2" t="str">
        <f t="shared" si="3"/>
        <v>Positive</v>
      </c>
    </row>
    <row r="201" spans="1:5" x14ac:dyDescent="0.3">
      <c r="A201" s="2" t="s">
        <v>687</v>
      </c>
      <c r="B201" s="2" t="s">
        <v>312</v>
      </c>
      <c r="C201" s="2" t="s">
        <v>312</v>
      </c>
      <c r="D201" s="2" cm="1">
        <f t="array" ref="D201">IF(C201="Excellent",4,IF(C201="Good",3,IF(C201="Average",2,IF(C201="Poor",1,Unknown))))</f>
        <v>3</v>
      </c>
      <c r="E201" s="2" t="str">
        <f t="shared" si="3"/>
        <v>Positive</v>
      </c>
    </row>
    <row r="202" spans="1:5" x14ac:dyDescent="0.3">
      <c r="A202" s="2" t="s">
        <v>839</v>
      </c>
      <c r="B202" s="2" t="s">
        <v>312</v>
      </c>
      <c r="C202" s="2" t="s">
        <v>312</v>
      </c>
      <c r="D202" s="2" cm="1">
        <f t="array" ref="D202">IF(C202="Excellent",4,IF(C202="Good",3,IF(C202="Average",2,IF(C202="Poor",1,Unknown))))</f>
        <v>3</v>
      </c>
      <c r="E202" s="2" t="str">
        <f t="shared" si="3"/>
        <v>Positive</v>
      </c>
    </row>
    <row r="203" spans="1:5" x14ac:dyDescent="0.3">
      <c r="A203" s="2" t="s">
        <v>760</v>
      </c>
      <c r="B203" s="2" t="s">
        <v>312</v>
      </c>
      <c r="C203" s="2" t="s">
        <v>312</v>
      </c>
      <c r="D203" s="2" cm="1">
        <f t="array" ref="D203">IF(C203="Excellent",4,IF(C203="Good",3,IF(C203="Average",2,IF(C203="Poor",1,Unknown))))</f>
        <v>3</v>
      </c>
      <c r="E203" s="2" t="str">
        <f t="shared" si="3"/>
        <v>Positive</v>
      </c>
    </row>
    <row r="204" spans="1:5" x14ac:dyDescent="0.3">
      <c r="A204" s="2" t="s">
        <v>802</v>
      </c>
      <c r="B204" s="2" t="s">
        <v>312</v>
      </c>
      <c r="C204" s="2" t="s">
        <v>312</v>
      </c>
      <c r="D204" s="2" cm="1">
        <f t="array" ref="D204">IF(C204="Excellent",4,IF(C204="Good",3,IF(C204="Average",2,IF(C204="Poor",1,Unknown))))</f>
        <v>3</v>
      </c>
      <c r="E204" s="2" t="str">
        <f t="shared" si="3"/>
        <v>Positive</v>
      </c>
    </row>
    <row r="205" spans="1:5" x14ac:dyDescent="0.3">
      <c r="A205" s="2" t="s">
        <v>688</v>
      </c>
      <c r="B205" s="2" t="s">
        <v>312</v>
      </c>
      <c r="C205" s="2" t="s">
        <v>312</v>
      </c>
      <c r="D205" s="2" cm="1">
        <f t="array" ref="D205">IF(C205="Excellent",4,IF(C205="Good",3,IF(C205="Average",2,IF(C205="Poor",1,Unknown))))</f>
        <v>3</v>
      </c>
      <c r="E205" s="2" t="str">
        <f t="shared" si="3"/>
        <v>Positive</v>
      </c>
    </row>
    <row r="206" spans="1:5" x14ac:dyDescent="0.3">
      <c r="A206" s="2" t="s">
        <v>712</v>
      </c>
      <c r="B206" s="2" t="s">
        <v>312</v>
      </c>
      <c r="C206" s="2" t="s">
        <v>312</v>
      </c>
      <c r="D206" s="2" cm="1">
        <f t="array" ref="D206">IF(C206="Excellent",4,IF(C206="Good",3,IF(C206="Average",2,IF(C206="Poor",1,Unknown))))</f>
        <v>3</v>
      </c>
      <c r="E206" s="2" t="str">
        <f t="shared" si="3"/>
        <v>Positive</v>
      </c>
    </row>
    <row r="207" spans="1:5" x14ac:dyDescent="0.3">
      <c r="A207" s="2" t="s">
        <v>818</v>
      </c>
      <c r="B207" s="2" t="s">
        <v>312</v>
      </c>
      <c r="C207" s="2" t="s">
        <v>312</v>
      </c>
      <c r="D207" s="2" cm="1">
        <f t="array" ref="D207">IF(C207="Excellent",4,IF(C207="Good",3,IF(C207="Average",2,IF(C207="Poor",1,Unknown))))</f>
        <v>3</v>
      </c>
      <c r="E207" s="2" t="str">
        <f t="shared" si="3"/>
        <v>Positive</v>
      </c>
    </row>
    <row r="208" spans="1:5" x14ac:dyDescent="0.3">
      <c r="A208" s="2" t="s">
        <v>784</v>
      </c>
      <c r="B208" s="2" t="s">
        <v>312</v>
      </c>
      <c r="C208" s="2" t="s">
        <v>312</v>
      </c>
      <c r="D208" s="2" cm="1">
        <f t="array" ref="D208">IF(C208="Excellent",4,IF(C208="Good",3,IF(C208="Average",2,IF(C208="Poor",1,Unknown))))</f>
        <v>3</v>
      </c>
      <c r="E208" s="2" t="str">
        <f t="shared" si="3"/>
        <v>Positive</v>
      </c>
    </row>
    <row r="209" spans="1:5" x14ac:dyDescent="0.3">
      <c r="A209" s="2" t="s">
        <v>736</v>
      </c>
      <c r="B209" s="2" t="s">
        <v>312</v>
      </c>
      <c r="C209" s="2" t="s">
        <v>312</v>
      </c>
      <c r="D209" s="2" cm="1">
        <f t="array" ref="D209">IF(C209="Excellent",4,IF(C209="Good",3,IF(C209="Average",2,IF(C209="Poor",1,Unknown))))</f>
        <v>3</v>
      </c>
      <c r="E209" s="2" t="str">
        <f t="shared" si="3"/>
        <v>Positive</v>
      </c>
    </row>
    <row r="210" spans="1:5" x14ac:dyDescent="0.3">
      <c r="A210" s="2" t="s">
        <v>896</v>
      </c>
      <c r="B210" s="2" t="s">
        <v>312</v>
      </c>
      <c r="C210" s="2" t="s">
        <v>312</v>
      </c>
      <c r="D210" s="2" cm="1">
        <f t="array" ref="D210">IF(C210="Excellent",4,IF(C210="Good",3,IF(C210="Average",2,IF(C210="Poor",1,Unknown))))</f>
        <v>3</v>
      </c>
      <c r="E210" s="2" t="str">
        <f t="shared" si="3"/>
        <v>Positive</v>
      </c>
    </row>
    <row r="211" spans="1:5" x14ac:dyDescent="0.3">
      <c r="A211" s="2" t="s">
        <v>911</v>
      </c>
      <c r="B211" s="2" t="s">
        <v>312</v>
      </c>
      <c r="C211" s="2" t="s">
        <v>312</v>
      </c>
      <c r="D211" s="2" cm="1">
        <f t="array" ref="D211">IF(C211="Excellent",4,IF(C211="Good",3,IF(C211="Average",2,IF(C211="Poor",1,Unknown))))</f>
        <v>3</v>
      </c>
      <c r="E211" s="2" t="str">
        <f t="shared" si="3"/>
        <v>Positive</v>
      </c>
    </row>
    <row r="212" spans="1:5" x14ac:dyDescent="0.3">
      <c r="A212" s="2" t="s">
        <v>833</v>
      </c>
      <c r="B212" s="2" t="s">
        <v>312</v>
      </c>
      <c r="C212" s="2" t="s">
        <v>312</v>
      </c>
      <c r="D212" s="2" cm="1">
        <f t="array" ref="D212">IF(C212="Excellent",4,IF(C212="Good",3,IF(C212="Average",2,IF(C212="Poor",1,Unknown))))</f>
        <v>3</v>
      </c>
      <c r="E212" s="2" t="str">
        <f t="shared" si="3"/>
        <v>Positive</v>
      </c>
    </row>
    <row r="213" spans="1:5" x14ac:dyDescent="0.3">
      <c r="A213" s="2" t="s">
        <v>748</v>
      </c>
      <c r="B213" s="2" t="s">
        <v>312</v>
      </c>
      <c r="C213" s="2" t="s">
        <v>312</v>
      </c>
      <c r="D213" s="2" cm="1">
        <f t="array" ref="D213">IF(C213="Excellent",4,IF(C213="Good",3,IF(C213="Average",2,IF(C213="Poor",1,Unknown))))</f>
        <v>3</v>
      </c>
      <c r="E213" s="2" t="str">
        <f t="shared" si="3"/>
        <v>Positive</v>
      </c>
    </row>
    <row r="214" spans="1:5" x14ac:dyDescent="0.3">
      <c r="A214" s="2" t="s">
        <v>138</v>
      </c>
      <c r="B214" s="2" t="s">
        <v>312</v>
      </c>
      <c r="C214" s="2" t="s">
        <v>312</v>
      </c>
      <c r="D214" s="2" cm="1">
        <f t="array" ref="D214">IF(C214="Excellent",4,IF(C214="Good",3,IF(C214="Average",2,IF(C214="Poor",1,Unknown))))</f>
        <v>3</v>
      </c>
      <c r="E214" s="2" t="str">
        <f t="shared" si="3"/>
        <v>Positive</v>
      </c>
    </row>
    <row r="215" spans="1:5" x14ac:dyDescent="0.3">
      <c r="A215" s="2" t="s">
        <v>142</v>
      </c>
      <c r="B215" s="2" t="s">
        <v>312</v>
      </c>
      <c r="C215" s="2" t="s">
        <v>312</v>
      </c>
      <c r="D215" s="2" cm="1">
        <f t="array" ref="D215">IF(C215="Excellent",4,IF(C215="Good",3,IF(C215="Average",2,IF(C215="Poor",1,Unknown))))</f>
        <v>3</v>
      </c>
      <c r="E215" s="2" t="str">
        <f t="shared" si="3"/>
        <v>Positive</v>
      </c>
    </row>
    <row r="216" spans="1:5" x14ac:dyDescent="0.3">
      <c r="A216" s="2" t="s">
        <v>814</v>
      </c>
      <c r="B216" s="2" t="s">
        <v>312</v>
      </c>
      <c r="C216" s="2" t="s">
        <v>312</v>
      </c>
      <c r="D216" s="2" cm="1">
        <f t="array" ref="D216">IF(C216="Excellent",4,IF(C216="Good",3,IF(C216="Average",2,IF(C216="Poor",1,Unknown))))</f>
        <v>3</v>
      </c>
      <c r="E216" s="2" t="str">
        <f t="shared" si="3"/>
        <v>Positive</v>
      </c>
    </row>
    <row r="217" spans="1:5" x14ac:dyDescent="0.3">
      <c r="A217" s="2" t="s">
        <v>888</v>
      </c>
      <c r="B217" s="2" t="s">
        <v>312</v>
      </c>
      <c r="C217" s="2" t="s">
        <v>312</v>
      </c>
      <c r="D217" s="2" cm="1">
        <f t="array" ref="D217">IF(C217="Excellent",4,IF(C217="Good",3,IF(C217="Average",2,IF(C217="Poor",1,Unknown))))</f>
        <v>3</v>
      </c>
      <c r="E217" s="2" t="str">
        <f t="shared" si="3"/>
        <v>Positive</v>
      </c>
    </row>
    <row r="218" spans="1:5" x14ac:dyDescent="0.3">
      <c r="A218" s="2" t="s">
        <v>929</v>
      </c>
      <c r="B218" s="2" t="s">
        <v>312</v>
      </c>
      <c r="C218" s="2" t="s">
        <v>312</v>
      </c>
      <c r="D218" s="2" cm="1">
        <f t="array" ref="D218">IF(C218="Excellent",4,IF(C218="Good",3,IF(C218="Average",2,IF(C218="Poor",1,Unknown))))</f>
        <v>3</v>
      </c>
      <c r="E218" s="2" t="str">
        <f t="shared" si="3"/>
        <v>Positive</v>
      </c>
    </row>
    <row r="219" spans="1:5" x14ac:dyDescent="0.3">
      <c r="A219" s="2" t="s">
        <v>926</v>
      </c>
      <c r="B219" s="2" t="s">
        <v>312</v>
      </c>
      <c r="C219" s="2" t="s">
        <v>312</v>
      </c>
      <c r="D219" s="2" cm="1">
        <f t="array" ref="D219">IF(C219="Excellent",4,IF(C219="Good",3,IF(C219="Average",2,IF(C219="Poor",1,Unknown))))</f>
        <v>3</v>
      </c>
      <c r="E219" s="2" t="str">
        <f t="shared" si="3"/>
        <v>Positive</v>
      </c>
    </row>
    <row r="220" spans="1:5" x14ac:dyDescent="0.3">
      <c r="A220" s="2" t="s">
        <v>133</v>
      </c>
      <c r="B220" s="2" t="s">
        <v>312</v>
      </c>
      <c r="C220" s="2" t="s">
        <v>312</v>
      </c>
      <c r="D220" s="2" cm="1">
        <f t="array" ref="D220">IF(C220="Excellent",4,IF(C220="Good",3,IF(C220="Average",2,IF(C220="Poor",1,Unknown))))</f>
        <v>3</v>
      </c>
      <c r="E220" s="2" t="str">
        <f t="shared" si="3"/>
        <v>Positive</v>
      </c>
    </row>
    <row r="221" spans="1:5" x14ac:dyDescent="0.3">
      <c r="A221" s="2" t="s">
        <v>900</v>
      </c>
      <c r="B221" s="2" t="s">
        <v>312</v>
      </c>
      <c r="C221" s="2" t="s">
        <v>312</v>
      </c>
      <c r="D221" s="2" cm="1">
        <f t="array" ref="D221">IF(C221="Excellent",4,IF(C221="Good",3,IF(C221="Average",2,IF(C221="Poor",1,Unknown))))</f>
        <v>3</v>
      </c>
      <c r="E221" s="2" t="str">
        <f t="shared" si="3"/>
        <v>Positive</v>
      </c>
    </row>
    <row r="222" spans="1:5" x14ac:dyDescent="0.3">
      <c r="A222" s="2" t="s">
        <v>937</v>
      </c>
      <c r="B222" s="2" t="s">
        <v>312</v>
      </c>
      <c r="C222" s="2" t="s">
        <v>312</v>
      </c>
      <c r="D222" s="2" cm="1">
        <f t="array" ref="D222">IF(C222="Excellent",4,IF(C222="Good",3,IF(C222="Average",2,IF(C222="Poor",1,Unknown))))</f>
        <v>3</v>
      </c>
      <c r="E222" s="2" t="str">
        <f t="shared" si="3"/>
        <v>Positive</v>
      </c>
    </row>
    <row r="223" spans="1:5" x14ac:dyDescent="0.3">
      <c r="A223" s="2" t="s">
        <v>837</v>
      </c>
      <c r="B223" s="2" t="s">
        <v>312</v>
      </c>
      <c r="C223" s="2" t="s">
        <v>312</v>
      </c>
      <c r="D223" s="2" cm="1">
        <f t="array" ref="D223">IF(C223="Excellent",4,IF(C223="Good",3,IF(C223="Average",2,IF(C223="Poor",1,Unknown))))</f>
        <v>3</v>
      </c>
      <c r="E223" s="2" t="str">
        <f t="shared" si="3"/>
        <v>Positive</v>
      </c>
    </row>
    <row r="224" spans="1:5" x14ac:dyDescent="0.3">
      <c r="A224" s="2" t="s">
        <v>751</v>
      </c>
      <c r="B224" s="2" t="s">
        <v>312</v>
      </c>
      <c r="C224" s="2" t="s">
        <v>312</v>
      </c>
      <c r="D224" s="2" cm="1">
        <f t="array" ref="D224">IF(C224="Excellent",4,IF(C224="Good",3,IF(C224="Average",2,IF(C224="Poor",1,Unknown))))</f>
        <v>3</v>
      </c>
      <c r="E224" s="2" t="str">
        <f t="shared" si="3"/>
        <v>Positive</v>
      </c>
    </row>
    <row r="225" spans="1:5" x14ac:dyDescent="0.3">
      <c r="A225" s="2" t="s">
        <v>191</v>
      </c>
      <c r="B225" s="2" t="s">
        <v>312</v>
      </c>
      <c r="C225" s="2" t="s">
        <v>312</v>
      </c>
      <c r="D225" s="2" cm="1">
        <f t="array" ref="D225">IF(C225="Excellent",4,IF(C225="Good",3,IF(C225="Average",2,IF(C225="Poor",1,Unknown))))</f>
        <v>3</v>
      </c>
      <c r="E225" s="2" t="str">
        <f t="shared" si="3"/>
        <v>Positive</v>
      </c>
    </row>
    <row r="226" spans="1:5" x14ac:dyDescent="0.3">
      <c r="A226" s="2" t="s">
        <v>211</v>
      </c>
      <c r="B226" s="2" t="s">
        <v>312</v>
      </c>
      <c r="C226" s="2" t="s">
        <v>312</v>
      </c>
      <c r="D226" s="2" cm="1">
        <f t="array" ref="D226">IF(C226="Excellent",4,IF(C226="Good",3,IF(C226="Average",2,IF(C226="Poor",1,Unknown))))</f>
        <v>3</v>
      </c>
      <c r="E226" s="2" t="str">
        <f t="shared" si="3"/>
        <v>Positive</v>
      </c>
    </row>
    <row r="227" spans="1:5" x14ac:dyDescent="0.3">
      <c r="A227" s="2" t="s">
        <v>151</v>
      </c>
      <c r="B227" s="2" t="s">
        <v>312</v>
      </c>
      <c r="C227" s="2" t="s">
        <v>312</v>
      </c>
      <c r="D227" s="2" cm="1">
        <f t="array" ref="D227">IF(C227="Excellent",4,IF(C227="Good",3,IF(C227="Average",2,IF(C227="Poor",1,Unknown))))</f>
        <v>3</v>
      </c>
      <c r="E227" s="2" t="str">
        <f t="shared" si="3"/>
        <v>Positive</v>
      </c>
    </row>
    <row r="228" spans="1:5" x14ac:dyDescent="0.3">
      <c r="A228" s="2" t="s">
        <v>776</v>
      </c>
      <c r="B228" s="2" t="s">
        <v>312</v>
      </c>
      <c r="C228" s="2" t="s">
        <v>312</v>
      </c>
      <c r="D228" s="2" cm="1">
        <f t="array" ref="D228">IF(C228="Excellent",4,IF(C228="Good",3,IF(C228="Average",2,IF(C228="Poor",1,Unknown))))</f>
        <v>3</v>
      </c>
      <c r="E228" s="2" t="str">
        <f t="shared" si="3"/>
        <v>Positive</v>
      </c>
    </row>
    <row r="229" spans="1:5" x14ac:dyDescent="0.3">
      <c r="A229" s="2" t="s">
        <v>690</v>
      </c>
      <c r="B229" s="2" t="s">
        <v>312</v>
      </c>
      <c r="C229" s="2" t="s">
        <v>312</v>
      </c>
      <c r="D229" s="2" cm="1">
        <f t="array" ref="D229">IF(C229="Excellent",4,IF(C229="Good",3,IF(C229="Average",2,IF(C229="Poor",1,Unknown))))</f>
        <v>3</v>
      </c>
      <c r="E229" s="2" t="str">
        <f t="shared" si="3"/>
        <v>Positive</v>
      </c>
    </row>
    <row r="230" spans="1:5" x14ac:dyDescent="0.3">
      <c r="A230" s="2" t="s">
        <v>880</v>
      </c>
      <c r="B230" s="2" t="s">
        <v>312</v>
      </c>
      <c r="C230" s="2" t="s">
        <v>312</v>
      </c>
      <c r="D230" s="2" cm="1">
        <f t="array" ref="D230">IF(C230="Excellent",4,IF(C230="Good",3,IF(C230="Average",2,IF(C230="Poor",1,Unknown))))</f>
        <v>3</v>
      </c>
      <c r="E230" s="2" t="str">
        <f t="shared" si="3"/>
        <v>Positive</v>
      </c>
    </row>
    <row r="231" spans="1:5" x14ac:dyDescent="0.3">
      <c r="A231" s="2" t="s">
        <v>167</v>
      </c>
      <c r="B231" s="2" t="s">
        <v>312</v>
      </c>
      <c r="C231" s="2" t="s">
        <v>312</v>
      </c>
      <c r="D231" s="2" cm="1">
        <f t="array" ref="D231">IF(C231="Excellent",4,IF(C231="Good",3,IF(C231="Average",2,IF(C231="Poor",1,Unknown))))</f>
        <v>3</v>
      </c>
      <c r="E231" s="2" t="str">
        <f t="shared" si="3"/>
        <v>Positive</v>
      </c>
    </row>
    <row r="232" spans="1:5" x14ac:dyDescent="0.3">
      <c r="A232" s="2" t="s">
        <v>722</v>
      </c>
      <c r="B232" s="2" t="s">
        <v>312</v>
      </c>
      <c r="C232" s="2" t="s">
        <v>312</v>
      </c>
      <c r="D232" s="2" cm="1">
        <f t="array" ref="D232">IF(C232="Excellent",4,IF(C232="Good",3,IF(C232="Average",2,IF(C232="Poor",1,Unknown))))</f>
        <v>3</v>
      </c>
      <c r="E232" s="2" t="str">
        <f t="shared" si="3"/>
        <v>Positive</v>
      </c>
    </row>
    <row r="233" spans="1:5" x14ac:dyDescent="0.3">
      <c r="A233" s="2" t="s">
        <v>860</v>
      </c>
      <c r="B233" s="2" t="s">
        <v>312</v>
      </c>
      <c r="C233" s="2" t="s">
        <v>312</v>
      </c>
      <c r="D233" s="2" cm="1">
        <f t="array" ref="D233">IF(C233="Excellent",4,IF(C233="Good",3,IF(C233="Average",2,IF(C233="Poor",1,Unknown))))</f>
        <v>3</v>
      </c>
      <c r="E233" s="2" t="str">
        <f t="shared" si="3"/>
        <v>Positive</v>
      </c>
    </row>
    <row r="234" spans="1:5" x14ac:dyDescent="0.3">
      <c r="A234" s="2" t="s">
        <v>868</v>
      </c>
      <c r="B234" s="2" t="s">
        <v>312</v>
      </c>
      <c r="C234" s="2" t="s">
        <v>312</v>
      </c>
      <c r="D234" s="2" cm="1">
        <f t="array" ref="D234">IF(C234="Excellent",4,IF(C234="Good",3,IF(C234="Average",2,IF(C234="Poor",1,Unknown))))</f>
        <v>3</v>
      </c>
      <c r="E234" s="2" t="str">
        <f t="shared" si="3"/>
        <v>Positive</v>
      </c>
    </row>
    <row r="235" spans="1:5" x14ac:dyDescent="0.3">
      <c r="A235" s="2" t="s">
        <v>869</v>
      </c>
      <c r="B235" s="2" t="s">
        <v>312</v>
      </c>
      <c r="C235" s="2" t="s">
        <v>312</v>
      </c>
      <c r="D235" s="2" cm="1">
        <f t="array" ref="D235">IF(C235="Excellent",4,IF(C235="Good",3,IF(C235="Average",2,IF(C235="Poor",1,Unknown))))</f>
        <v>3</v>
      </c>
      <c r="E235" s="2" t="str">
        <f t="shared" si="3"/>
        <v>Positive</v>
      </c>
    </row>
    <row r="236" spans="1:5" x14ac:dyDescent="0.3">
      <c r="A236" s="2" t="s">
        <v>917</v>
      </c>
      <c r="B236" s="2" t="s">
        <v>312</v>
      </c>
      <c r="C236" s="2" t="s">
        <v>312</v>
      </c>
      <c r="D236" s="2" cm="1">
        <f t="array" ref="D236">IF(C236="Excellent",4,IF(C236="Good",3,IF(C236="Average",2,IF(C236="Poor",1,Unknown))))</f>
        <v>3</v>
      </c>
      <c r="E236" s="2" t="str">
        <f t="shared" si="3"/>
        <v>Positive</v>
      </c>
    </row>
    <row r="237" spans="1:5" x14ac:dyDescent="0.3">
      <c r="A237" s="2" t="s">
        <v>675</v>
      </c>
      <c r="B237" s="2" t="s">
        <v>312</v>
      </c>
      <c r="C237" s="2" t="s">
        <v>312</v>
      </c>
      <c r="D237" s="2" cm="1">
        <f t="array" ref="D237">IF(C237="Excellent",4,IF(C237="Good",3,IF(C237="Average",2,IF(C237="Poor",1,Unknown))))</f>
        <v>3</v>
      </c>
      <c r="E237" s="2" t="str">
        <f t="shared" si="3"/>
        <v>Positive</v>
      </c>
    </row>
    <row r="238" spans="1:5" x14ac:dyDescent="0.3">
      <c r="A238" s="2" t="s">
        <v>845</v>
      </c>
      <c r="B238" s="2" t="s">
        <v>312</v>
      </c>
      <c r="C238" s="2" t="s">
        <v>312</v>
      </c>
      <c r="D238" s="2" cm="1">
        <f t="array" ref="D238">IF(C238="Excellent",4,IF(C238="Good",3,IF(C238="Average",2,IF(C238="Poor",1,Unknown))))</f>
        <v>3</v>
      </c>
      <c r="E238" s="2" t="str">
        <f t="shared" si="3"/>
        <v>Positive</v>
      </c>
    </row>
    <row r="239" spans="1:5" x14ac:dyDescent="0.3">
      <c r="A239" s="2" t="s">
        <v>213</v>
      </c>
      <c r="B239" s="2" t="s">
        <v>312</v>
      </c>
      <c r="C239" s="2" t="s">
        <v>312</v>
      </c>
      <c r="D239" s="2" cm="1">
        <f t="array" ref="D239">IF(C239="Excellent",4,IF(C239="Good",3,IF(C239="Average",2,IF(C239="Poor",1,Unknown))))</f>
        <v>3</v>
      </c>
      <c r="E239" s="2" t="str">
        <f t="shared" si="3"/>
        <v>Positive</v>
      </c>
    </row>
    <row r="240" spans="1:5" x14ac:dyDescent="0.3">
      <c r="A240" s="2" t="s">
        <v>708</v>
      </c>
      <c r="B240" s="2" t="s">
        <v>312</v>
      </c>
      <c r="C240" s="2" t="s">
        <v>312</v>
      </c>
      <c r="D240" s="2" cm="1">
        <f t="array" ref="D240">IF(C240="Excellent",4,IF(C240="Good",3,IF(C240="Average",2,IF(C240="Poor",1,Unknown))))</f>
        <v>3</v>
      </c>
      <c r="E240" s="2" t="str">
        <f t="shared" si="3"/>
        <v>Positive</v>
      </c>
    </row>
    <row r="241" spans="1:5" x14ac:dyDescent="0.3">
      <c r="A241" s="2" t="s">
        <v>201</v>
      </c>
      <c r="B241" s="2" t="s">
        <v>312</v>
      </c>
      <c r="C241" s="2" t="s">
        <v>312</v>
      </c>
      <c r="D241" s="2" cm="1">
        <f t="array" ref="D241">IF(C241="Excellent",4,IF(C241="Good",3,IF(C241="Average",2,IF(C241="Poor",1,Unknown))))</f>
        <v>3</v>
      </c>
      <c r="E241" s="2" t="str">
        <f t="shared" si="3"/>
        <v>Positive</v>
      </c>
    </row>
    <row r="242" spans="1:5" x14ac:dyDescent="0.3">
      <c r="A242" s="2" t="s">
        <v>742</v>
      </c>
      <c r="B242" s="2" t="s">
        <v>312</v>
      </c>
      <c r="C242" s="2" t="s">
        <v>312</v>
      </c>
      <c r="D242" s="2" cm="1">
        <f t="array" ref="D242">IF(C242="Excellent",4,IF(C242="Good",3,IF(C242="Average",2,IF(C242="Poor",1,Unknown))))</f>
        <v>3</v>
      </c>
      <c r="E242" s="2" t="str">
        <f t="shared" si="3"/>
        <v>Positive</v>
      </c>
    </row>
    <row r="243" spans="1:5" x14ac:dyDescent="0.3">
      <c r="A243" s="2" t="s">
        <v>737</v>
      </c>
      <c r="B243" s="2" t="s">
        <v>312</v>
      </c>
      <c r="C243" s="2" t="s">
        <v>312</v>
      </c>
      <c r="D243" s="2" cm="1">
        <f t="array" ref="D243">IF(C243="Excellent",4,IF(C243="Good",3,IF(C243="Average",2,IF(C243="Poor",1,Unknown))))</f>
        <v>3</v>
      </c>
      <c r="E243" s="2" t="str">
        <f t="shared" si="3"/>
        <v>Positive</v>
      </c>
    </row>
    <row r="244" spans="1:5" x14ac:dyDescent="0.3">
      <c r="A244" s="2" t="s">
        <v>838</v>
      </c>
      <c r="B244" s="2" t="s">
        <v>312</v>
      </c>
      <c r="C244" s="2" t="s">
        <v>312</v>
      </c>
      <c r="D244" s="2" cm="1">
        <f t="array" ref="D244">IF(C244="Excellent",4,IF(C244="Good",3,IF(C244="Average",2,IF(C244="Poor",1,Unknown))))</f>
        <v>3</v>
      </c>
      <c r="E244" s="2" t="str">
        <f t="shared" si="3"/>
        <v>Positive</v>
      </c>
    </row>
    <row r="245" spans="1:5" x14ac:dyDescent="0.3">
      <c r="A245" s="2" t="s">
        <v>849</v>
      </c>
      <c r="B245" s="2" t="s">
        <v>312</v>
      </c>
      <c r="C245" s="2" t="s">
        <v>312</v>
      </c>
      <c r="D245" s="2" cm="1">
        <f t="array" ref="D245">IF(C245="Excellent",4,IF(C245="Good",3,IF(C245="Average",2,IF(C245="Poor",1,Unknown))))</f>
        <v>3</v>
      </c>
      <c r="E245" s="2" t="str">
        <f t="shared" si="3"/>
        <v>Positive</v>
      </c>
    </row>
    <row r="246" spans="1:5" x14ac:dyDescent="0.3">
      <c r="A246" s="2" t="s">
        <v>147</v>
      </c>
      <c r="B246" s="2" t="s">
        <v>312</v>
      </c>
      <c r="C246" s="2" t="s">
        <v>312</v>
      </c>
      <c r="D246" s="2" cm="1">
        <f t="array" ref="D246">IF(C246="Excellent",4,IF(C246="Good",3,IF(C246="Average",2,IF(C246="Poor",1,Unknown))))</f>
        <v>3</v>
      </c>
      <c r="E246" s="2" t="str">
        <f t="shared" si="3"/>
        <v>Positive</v>
      </c>
    </row>
    <row r="247" spans="1:5" x14ac:dyDescent="0.3">
      <c r="A247" s="2" t="s">
        <v>815</v>
      </c>
      <c r="B247" s="2" t="s">
        <v>312</v>
      </c>
      <c r="C247" s="2" t="s">
        <v>312</v>
      </c>
      <c r="D247" s="2" cm="1">
        <f t="array" ref="D247">IF(C247="Excellent",4,IF(C247="Good",3,IF(C247="Average",2,IF(C247="Poor",1,Unknown))))</f>
        <v>3</v>
      </c>
      <c r="E247" s="2" t="str">
        <f t="shared" si="3"/>
        <v>Positive</v>
      </c>
    </row>
    <row r="248" spans="1:5" x14ac:dyDescent="0.3">
      <c r="A248" s="2" t="s">
        <v>200</v>
      </c>
      <c r="B248" s="2" t="s">
        <v>312</v>
      </c>
      <c r="C248" s="2" t="s">
        <v>312</v>
      </c>
      <c r="D248" s="2" cm="1">
        <f t="array" ref="D248">IF(C248="Excellent",4,IF(C248="Good",3,IF(C248="Average",2,IF(C248="Poor",1,Unknown))))</f>
        <v>3</v>
      </c>
      <c r="E248" s="2" t="str">
        <f t="shared" si="3"/>
        <v>Positive</v>
      </c>
    </row>
    <row r="249" spans="1:5" x14ac:dyDescent="0.3">
      <c r="A249" s="2" t="s">
        <v>677</v>
      </c>
      <c r="B249" s="2" t="s">
        <v>312</v>
      </c>
      <c r="C249" s="2" t="s">
        <v>312</v>
      </c>
      <c r="D249" s="2" cm="1">
        <f t="array" ref="D249">IF(C249="Excellent",4,IF(C249="Good",3,IF(C249="Average",2,IF(C249="Poor",1,Unknown))))</f>
        <v>3</v>
      </c>
      <c r="E249" s="2" t="str">
        <f t="shared" si="3"/>
        <v>Positive</v>
      </c>
    </row>
    <row r="250" spans="1:5" x14ac:dyDescent="0.3">
      <c r="A250" s="2" t="s">
        <v>940</v>
      </c>
      <c r="B250" s="2" t="s">
        <v>312</v>
      </c>
      <c r="C250" s="2" t="s">
        <v>312</v>
      </c>
      <c r="D250" s="2" cm="1">
        <f t="array" ref="D250">IF(C250="Excellent",4,IF(C250="Good",3,IF(C250="Average",2,IF(C250="Poor",1,Unknown))))</f>
        <v>3</v>
      </c>
      <c r="E250" s="2" t="str">
        <f t="shared" si="3"/>
        <v>Positive</v>
      </c>
    </row>
    <row r="251" spans="1:5" x14ac:dyDescent="0.3">
      <c r="A251" s="2" t="s">
        <v>842</v>
      </c>
      <c r="B251" s="2" t="s">
        <v>312</v>
      </c>
      <c r="C251" s="2" t="s">
        <v>312</v>
      </c>
      <c r="D251" s="2" cm="1">
        <f t="array" ref="D251">IF(C251="Excellent",4,IF(C251="Good",3,IF(C251="Average",2,IF(C251="Poor",1,Unknown))))</f>
        <v>3</v>
      </c>
      <c r="E251" s="2" t="str">
        <f t="shared" si="3"/>
        <v>Positive</v>
      </c>
    </row>
    <row r="252" spans="1:5" x14ac:dyDescent="0.3">
      <c r="A252" s="2" t="s">
        <v>825</v>
      </c>
      <c r="B252" s="2" t="s">
        <v>312</v>
      </c>
      <c r="C252" s="2" t="s">
        <v>312</v>
      </c>
      <c r="D252" s="2" cm="1">
        <f t="array" ref="D252">IF(C252="Excellent",4,IF(C252="Good",3,IF(C252="Average",2,IF(C252="Poor",1,Unknown))))</f>
        <v>3</v>
      </c>
      <c r="E252" s="2" t="str">
        <f t="shared" si="3"/>
        <v>Positive</v>
      </c>
    </row>
    <row r="253" spans="1:5" x14ac:dyDescent="0.3">
      <c r="A253" s="2" t="s">
        <v>879</v>
      </c>
      <c r="B253" s="2" t="s">
        <v>312</v>
      </c>
      <c r="C253" s="2" t="s">
        <v>312</v>
      </c>
      <c r="D253" s="2" cm="1">
        <f t="array" ref="D253">IF(C253="Excellent",4,IF(C253="Good",3,IF(C253="Average",2,IF(C253="Poor",1,Unknown))))</f>
        <v>3</v>
      </c>
      <c r="E253" s="2" t="str">
        <f t="shared" si="3"/>
        <v>Positive</v>
      </c>
    </row>
    <row r="254" spans="1:5" x14ac:dyDescent="0.3">
      <c r="A254" s="2" t="s">
        <v>668</v>
      </c>
      <c r="B254" s="2" t="s">
        <v>312</v>
      </c>
      <c r="C254" s="2" t="s">
        <v>312</v>
      </c>
      <c r="D254" s="2" cm="1">
        <f t="array" ref="D254">IF(C254="Excellent",4,IF(C254="Good",3,IF(C254="Average",2,IF(C254="Poor",1,Unknown))))</f>
        <v>3</v>
      </c>
      <c r="E254" s="2" t="str">
        <f t="shared" si="3"/>
        <v>Positive</v>
      </c>
    </row>
    <row r="255" spans="1:5" x14ac:dyDescent="0.3">
      <c r="A255" s="2" t="s">
        <v>873</v>
      </c>
      <c r="B255" s="2" t="s">
        <v>312</v>
      </c>
      <c r="C255" s="2" t="s">
        <v>312</v>
      </c>
      <c r="D255" s="2" cm="1">
        <f t="array" ref="D255">IF(C255="Excellent",4,IF(C255="Good",3,IF(C255="Average",2,IF(C255="Poor",1,Unknown))))</f>
        <v>3</v>
      </c>
      <c r="E255" s="2" t="str">
        <f t="shared" si="3"/>
        <v>Positive</v>
      </c>
    </row>
    <row r="256" spans="1:5" x14ac:dyDescent="0.3">
      <c r="A256" s="2" t="s">
        <v>847</v>
      </c>
      <c r="B256" s="2" t="s">
        <v>312</v>
      </c>
      <c r="C256" s="2" t="s">
        <v>312</v>
      </c>
      <c r="D256" s="2" cm="1">
        <f t="array" ref="D256">IF(C256="Excellent",4,IF(C256="Good",3,IF(C256="Average",2,IF(C256="Poor",1,Unknown))))</f>
        <v>3</v>
      </c>
      <c r="E256" s="2" t="str">
        <f t="shared" si="3"/>
        <v>Positive</v>
      </c>
    </row>
    <row r="257" spans="1:5" x14ac:dyDescent="0.3">
      <c r="A257" s="2" t="s">
        <v>800</v>
      </c>
      <c r="B257" s="2" t="s">
        <v>312</v>
      </c>
      <c r="C257" s="2" t="s">
        <v>312</v>
      </c>
      <c r="D257" s="2" cm="1">
        <f t="array" ref="D257">IF(C257="Excellent",4,IF(C257="Good",3,IF(C257="Average",2,IF(C257="Poor",1,Unknown))))</f>
        <v>3</v>
      </c>
      <c r="E257" s="2" t="str">
        <f t="shared" si="3"/>
        <v>Positive</v>
      </c>
    </row>
    <row r="258" spans="1:5" x14ac:dyDescent="0.3">
      <c r="A258" s="2" t="s">
        <v>803</v>
      </c>
      <c r="B258" s="2" t="s">
        <v>312</v>
      </c>
      <c r="C258" s="2" t="s">
        <v>312</v>
      </c>
      <c r="D258" s="2" cm="1">
        <f t="array" ref="D258">IF(C258="Excellent",4,IF(C258="Good",3,IF(C258="Average",2,IF(C258="Poor",1,Unknown))))</f>
        <v>3</v>
      </c>
      <c r="E258" s="2" t="str">
        <f t="shared" si="3"/>
        <v>Positive</v>
      </c>
    </row>
    <row r="259" spans="1:5" x14ac:dyDescent="0.3">
      <c r="A259" s="2" t="s">
        <v>169</v>
      </c>
      <c r="B259" s="2" t="s">
        <v>312</v>
      </c>
      <c r="C259" s="2" t="s">
        <v>312</v>
      </c>
      <c r="D259" s="2" cm="1">
        <f t="array" ref="D259">IF(C259="Excellent",4,IF(C259="Good",3,IF(C259="Average",2,IF(C259="Poor",1,Unknown))))</f>
        <v>3</v>
      </c>
      <c r="E259" s="2" t="str">
        <f t="shared" ref="E259:E322" si="4">IF(OR(C259="Average",C259="Poor"),"Nuetral/Negative","Positive")</f>
        <v>Positive</v>
      </c>
    </row>
    <row r="260" spans="1:5" x14ac:dyDescent="0.3">
      <c r="A260" s="2" t="s">
        <v>942</v>
      </c>
      <c r="B260" s="2" t="s">
        <v>312</v>
      </c>
      <c r="C260" s="2" t="s">
        <v>312</v>
      </c>
      <c r="D260" s="2" cm="1">
        <f t="array" ref="D260">IF(C260="Excellent",4,IF(C260="Good",3,IF(C260="Average",2,IF(C260="Poor",1,Unknown))))</f>
        <v>3</v>
      </c>
      <c r="E260" s="2" t="str">
        <f t="shared" si="4"/>
        <v>Positive</v>
      </c>
    </row>
    <row r="261" spans="1:5" x14ac:dyDescent="0.3">
      <c r="A261" s="2" t="s">
        <v>226</v>
      </c>
      <c r="B261" s="2" t="s">
        <v>312</v>
      </c>
      <c r="C261" s="2" t="s">
        <v>312</v>
      </c>
      <c r="D261" s="2" cm="1">
        <f t="array" ref="D261">IF(C261="Excellent",4,IF(C261="Good",3,IF(C261="Average",2,IF(C261="Poor",1,Unknown))))</f>
        <v>3</v>
      </c>
      <c r="E261" s="2" t="str">
        <f t="shared" si="4"/>
        <v>Positive</v>
      </c>
    </row>
    <row r="262" spans="1:5" x14ac:dyDescent="0.3">
      <c r="A262" s="2" t="s">
        <v>713</v>
      </c>
      <c r="B262" s="2" t="s">
        <v>312</v>
      </c>
      <c r="C262" s="2" t="s">
        <v>312</v>
      </c>
      <c r="D262" s="2" cm="1">
        <f t="array" ref="D262">IF(C262="Excellent",4,IF(C262="Good",3,IF(C262="Average",2,IF(C262="Poor",1,Unknown))))</f>
        <v>3</v>
      </c>
      <c r="E262" s="2" t="str">
        <f t="shared" si="4"/>
        <v>Positive</v>
      </c>
    </row>
    <row r="263" spans="1:5" x14ac:dyDescent="0.3">
      <c r="A263" s="2" t="s">
        <v>176</v>
      </c>
      <c r="B263" s="2" t="s">
        <v>312</v>
      </c>
      <c r="C263" s="2" t="s">
        <v>312</v>
      </c>
      <c r="D263" s="2" cm="1">
        <f t="array" ref="D263">IF(C263="Excellent",4,IF(C263="Good",3,IF(C263="Average",2,IF(C263="Poor",1,Unknown))))</f>
        <v>3</v>
      </c>
      <c r="E263" s="2" t="str">
        <f t="shared" si="4"/>
        <v>Positive</v>
      </c>
    </row>
    <row r="264" spans="1:5" x14ac:dyDescent="0.3">
      <c r="A264" s="2" t="s">
        <v>878</v>
      </c>
      <c r="B264" s="2" t="s">
        <v>312</v>
      </c>
      <c r="C264" s="2" t="s">
        <v>312</v>
      </c>
      <c r="D264" s="2" cm="1">
        <f t="array" ref="D264">IF(C264="Excellent",4,IF(C264="Good",3,IF(C264="Average",2,IF(C264="Poor",1,Unknown))))</f>
        <v>3</v>
      </c>
      <c r="E264" s="2" t="str">
        <f t="shared" si="4"/>
        <v>Positive</v>
      </c>
    </row>
    <row r="265" spans="1:5" x14ac:dyDescent="0.3">
      <c r="A265" s="2" t="s">
        <v>140</v>
      </c>
      <c r="B265" s="2" t="s">
        <v>312</v>
      </c>
      <c r="C265" s="2" t="s">
        <v>312</v>
      </c>
      <c r="D265" s="2" cm="1">
        <f t="array" ref="D265">IF(C265="Excellent",4,IF(C265="Good",3,IF(C265="Average",2,IF(C265="Poor",1,Unknown))))</f>
        <v>3</v>
      </c>
      <c r="E265" s="2" t="str">
        <f t="shared" si="4"/>
        <v>Positive</v>
      </c>
    </row>
    <row r="266" spans="1:5" x14ac:dyDescent="0.3">
      <c r="A266" s="2" t="s">
        <v>844</v>
      </c>
      <c r="B266" s="2" t="s">
        <v>312</v>
      </c>
      <c r="C266" s="2" t="s">
        <v>312</v>
      </c>
      <c r="D266" s="2" cm="1">
        <f t="array" ref="D266">IF(C266="Excellent",4,IF(C266="Good",3,IF(C266="Average",2,IF(C266="Poor",1,Unknown))))</f>
        <v>3</v>
      </c>
      <c r="E266" s="2" t="str">
        <f t="shared" si="4"/>
        <v>Positive</v>
      </c>
    </row>
    <row r="267" spans="1:5" x14ac:dyDescent="0.3">
      <c r="A267" s="2" t="s">
        <v>145</v>
      </c>
      <c r="B267" s="2" t="s">
        <v>312</v>
      </c>
      <c r="C267" s="2" t="s">
        <v>312</v>
      </c>
      <c r="D267" s="2" cm="1">
        <f t="array" ref="D267">IF(C267="Excellent",4,IF(C267="Good",3,IF(C267="Average",2,IF(C267="Poor",1,Unknown))))</f>
        <v>3</v>
      </c>
      <c r="E267" s="2" t="str">
        <f t="shared" si="4"/>
        <v>Positive</v>
      </c>
    </row>
    <row r="268" spans="1:5" x14ac:dyDescent="0.3">
      <c r="A268" s="2" t="s">
        <v>856</v>
      </c>
      <c r="B268" s="2" t="s">
        <v>312</v>
      </c>
      <c r="C268" s="2" t="s">
        <v>312</v>
      </c>
      <c r="D268" s="2" cm="1">
        <f t="array" ref="D268">IF(C268="Excellent",4,IF(C268="Good",3,IF(C268="Average",2,IF(C268="Poor",1,Unknown))))</f>
        <v>3</v>
      </c>
      <c r="E268" s="2" t="str">
        <f t="shared" si="4"/>
        <v>Positive</v>
      </c>
    </row>
    <row r="269" spans="1:5" x14ac:dyDescent="0.3">
      <c r="A269" s="2" t="s">
        <v>761</v>
      </c>
      <c r="B269" s="2" t="s">
        <v>312</v>
      </c>
      <c r="C269" s="2" t="s">
        <v>312</v>
      </c>
      <c r="D269" s="2" cm="1">
        <f t="array" ref="D269">IF(C269="Excellent",4,IF(C269="Good",3,IF(C269="Average",2,IF(C269="Poor",1,Unknown))))</f>
        <v>3</v>
      </c>
      <c r="E269" s="2" t="str">
        <f t="shared" si="4"/>
        <v>Positive</v>
      </c>
    </row>
    <row r="270" spans="1:5" x14ac:dyDescent="0.3">
      <c r="A270" s="2" t="s">
        <v>724</v>
      </c>
      <c r="B270" s="2" t="s">
        <v>312</v>
      </c>
      <c r="C270" s="2" t="s">
        <v>312</v>
      </c>
      <c r="D270" s="2" cm="1">
        <f t="array" ref="D270">IF(C270="Excellent",4,IF(C270="Good",3,IF(C270="Average",2,IF(C270="Poor",1,Unknown))))</f>
        <v>3</v>
      </c>
      <c r="E270" s="2" t="str">
        <f t="shared" si="4"/>
        <v>Positive</v>
      </c>
    </row>
    <row r="271" spans="1:5" x14ac:dyDescent="0.3">
      <c r="A271" s="2" t="s">
        <v>184</v>
      </c>
      <c r="B271" s="2" t="s">
        <v>312</v>
      </c>
      <c r="C271" s="2" t="s">
        <v>312</v>
      </c>
      <c r="D271" s="2" cm="1">
        <f t="array" ref="D271">IF(C271="Excellent",4,IF(C271="Good",3,IF(C271="Average",2,IF(C271="Poor",1,Unknown))))</f>
        <v>3</v>
      </c>
      <c r="E271" s="2" t="str">
        <f t="shared" si="4"/>
        <v>Positive</v>
      </c>
    </row>
    <row r="272" spans="1:5" x14ac:dyDescent="0.3">
      <c r="A272" s="2" t="s">
        <v>898</v>
      </c>
      <c r="B272" s="2" t="s">
        <v>312</v>
      </c>
      <c r="C272" s="2" t="s">
        <v>312</v>
      </c>
      <c r="D272" s="2" cm="1">
        <f t="array" ref="D272">IF(C272="Excellent",4,IF(C272="Good",3,IF(C272="Average",2,IF(C272="Poor",1,Unknown))))</f>
        <v>3</v>
      </c>
      <c r="E272" s="2" t="str">
        <f t="shared" si="4"/>
        <v>Positive</v>
      </c>
    </row>
    <row r="273" spans="1:5" x14ac:dyDescent="0.3">
      <c r="A273" s="2" t="s">
        <v>1108</v>
      </c>
      <c r="B273" s="2" t="s">
        <v>312</v>
      </c>
      <c r="C273" s="2" t="s">
        <v>312</v>
      </c>
      <c r="D273" s="2" cm="1">
        <f t="array" ref="D273">IF(C273="Excellent",4,IF(C273="Good",3,IF(C273="Average",2,IF(C273="Poor",1,Unknown))))</f>
        <v>3</v>
      </c>
      <c r="E273" s="2" t="str">
        <f t="shared" si="4"/>
        <v>Positive</v>
      </c>
    </row>
    <row r="274" spans="1:5" x14ac:dyDescent="0.3">
      <c r="A274" s="2" t="s">
        <v>876</v>
      </c>
      <c r="B274" s="2" t="s">
        <v>312</v>
      </c>
      <c r="C274" s="2" t="s">
        <v>312</v>
      </c>
      <c r="D274" s="2" cm="1">
        <f t="array" ref="D274">IF(C274="Excellent",4,IF(C274="Good",3,IF(C274="Average",2,IF(C274="Poor",1,Unknown))))</f>
        <v>3</v>
      </c>
      <c r="E274" s="2" t="str">
        <f t="shared" si="4"/>
        <v>Positive</v>
      </c>
    </row>
    <row r="275" spans="1:5" x14ac:dyDescent="0.3">
      <c r="A275" s="2" t="s">
        <v>796</v>
      </c>
      <c r="B275" s="2" t="s">
        <v>312</v>
      </c>
      <c r="C275" s="2" t="s">
        <v>312</v>
      </c>
      <c r="D275" s="2" cm="1">
        <f t="array" ref="D275">IF(C275="Excellent",4,IF(C275="Good",3,IF(C275="Average",2,IF(C275="Poor",1,Unknown))))</f>
        <v>3</v>
      </c>
      <c r="E275" s="2" t="str">
        <f t="shared" si="4"/>
        <v>Positive</v>
      </c>
    </row>
    <row r="276" spans="1:5" x14ac:dyDescent="0.3">
      <c r="A276" s="2" t="s">
        <v>754</v>
      </c>
      <c r="B276" s="2" t="s">
        <v>312</v>
      </c>
      <c r="C276" s="2" t="s">
        <v>312</v>
      </c>
      <c r="D276" s="2" cm="1">
        <f t="array" ref="D276">IF(C276="Excellent",4,IF(C276="Good",3,IF(C276="Average",2,IF(C276="Poor",1,Unknown))))</f>
        <v>3</v>
      </c>
      <c r="E276" s="2" t="str">
        <f t="shared" si="4"/>
        <v>Positive</v>
      </c>
    </row>
    <row r="277" spans="1:5" x14ac:dyDescent="0.3">
      <c r="A277" s="2" t="s">
        <v>870</v>
      </c>
      <c r="B277" s="2" t="s">
        <v>312</v>
      </c>
      <c r="C277" s="2" t="s">
        <v>312</v>
      </c>
      <c r="D277" s="2" cm="1">
        <f t="array" ref="D277">IF(C277="Excellent",4,IF(C277="Good",3,IF(C277="Average",2,IF(C277="Poor",1,Unknown))))</f>
        <v>3</v>
      </c>
      <c r="E277" s="2" t="str">
        <f t="shared" si="4"/>
        <v>Positive</v>
      </c>
    </row>
    <row r="278" spans="1:5" x14ac:dyDescent="0.3">
      <c r="A278" s="2" t="s">
        <v>892</v>
      </c>
      <c r="B278" s="2" t="s">
        <v>312</v>
      </c>
      <c r="C278" s="2" t="s">
        <v>312</v>
      </c>
      <c r="D278" s="2" cm="1">
        <f t="array" ref="D278">IF(C278="Excellent",4,IF(C278="Good",3,IF(C278="Average",2,IF(C278="Poor",1,Unknown))))</f>
        <v>3</v>
      </c>
      <c r="E278" s="2" t="str">
        <f t="shared" si="4"/>
        <v>Positive</v>
      </c>
    </row>
    <row r="279" spans="1:5" x14ac:dyDescent="0.3">
      <c r="A279" s="2" t="s">
        <v>832</v>
      </c>
      <c r="B279" s="2" t="s">
        <v>312</v>
      </c>
      <c r="C279" s="2" t="s">
        <v>312</v>
      </c>
      <c r="D279" s="2" cm="1">
        <f t="array" ref="D279">IF(C279="Excellent",4,IF(C279="Good",3,IF(C279="Average",2,IF(C279="Poor",1,Unknown))))</f>
        <v>3</v>
      </c>
      <c r="E279" s="2" t="str">
        <f t="shared" si="4"/>
        <v>Positive</v>
      </c>
    </row>
    <row r="280" spans="1:5" x14ac:dyDescent="0.3">
      <c r="A280" s="2" t="s">
        <v>701</v>
      </c>
      <c r="B280" s="2" t="s">
        <v>312</v>
      </c>
      <c r="C280" s="2" t="s">
        <v>312</v>
      </c>
      <c r="D280" s="2" cm="1">
        <f t="array" ref="D280">IF(C280="Excellent",4,IF(C280="Good",3,IF(C280="Average",2,IF(C280="Poor",1,Unknown))))</f>
        <v>3</v>
      </c>
      <c r="E280" s="2" t="str">
        <f t="shared" si="4"/>
        <v>Positive</v>
      </c>
    </row>
    <row r="281" spans="1:5" x14ac:dyDescent="0.3">
      <c r="A281" s="2" t="s">
        <v>786</v>
      </c>
      <c r="B281" s="2" t="s">
        <v>312</v>
      </c>
      <c r="C281" s="2" t="s">
        <v>312</v>
      </c>
      <c r="D281" s="2" cm="1">
        <f t="array" ref="D281">IF(C281="Excellent",4,IF(C281="Good",3,IF(C281="Average",2,IF(C281="Poor",1,Unknown))))</f>
        <v>3</v>
      </c>
      <c r="E281" s="2" t="str">
        <f t="shared" si="4"/>
        <v>Positive</v>
      </c>
    </row>
    <row r="282" spans="1:5" x14ac:dyDescent="0.3">
      <c r="A282" s="2" t="s">
        <v>768</v>
      </c>
      <c r="B282" s="2" t="s">
        <v>312</v>
      </c>
      <c r="C282" s="2" t="s">
        <v>312</v>
      </c>
      <c r="D282" s="2" cm="1">
        <f t="array" ref="D282">IF(C282="Excellent",4,IF(C282="Good",3,IF(C282="Average",2,IF(C282="Poor",1,Unknown))))</f>
        <v>3</v>
      </c>
      <c r="E282" s="2" t="str">
        <f t="shared" si="4"/>
        <v>Positive</v>
      </c>
    </row>
    <row r="283" spans="1:5" x14ac:dyDescent="0.3">
      <c r="A283" s="2" t="s">
        <v>810</v>
      </c>
      <c r="B283" s="2" t="s">
        <v>312</v>
      </c>
      <c r="C283" s="2" t="s">
        <v>312</v>
      </c>
      <c r="D283" s="2" cm="1">
        <f t="array" ref="D283">IF(C283="Excellent",4,IF(C283="Good",3,IF(C283="Average",2,IF(C283="Poor",1,Unknown))))</f>
        <v>3</v>
      </c>
      <c r="E283" s="2" t="str">
        <f t="shared" si="4"/>
        <v>Positive</v>
      </c>
    </row>
    <row r="284" spans="1:5" x14ac:dyDescent="0.3">
      <c r="A284" s="2" t="s">
        <v>741</v>
      </c>
      <c r="B284" s="2" t="s">
        <v>312</v>
      </c>
      <c r="C284" s="2" t="s">
        <v>312</v>
      </c>
      <c r="D284" s="2" cm="1">
        <f t="array" ref="D284">IF(C284="Excellent",4,IF(C284="Good",3,IF(C284="Average",2,IF(C284="Poor",1,Unknown))))</f>
        <v>3</v>
      </c>
      <c r="E284" s="2" t="str">
        <f t="shared" si="4"/>
        <v>Positive</v>
      </c>
    </row>
    <row r="285" spans="1:5" x14ac:dyDescent="0.3">
      <c r="A285" s="2" t="s">
        <v>765</v>
      </c>
      <c r="B285" s="2" t="s">
        <v>312</v>
      </c>
      <c r="C285" s="2" t="s">
        <v>312</v>
      </c>
      <c r="D285" s="2" cm="1">
        <f t="array" ref="D285">IF(C285="Excellent",4,IF(C285="Good",3,IF(C285="Average",2,IF(C285="Poor",1,Unknown))))</f>
        <v>3</v>
      </c>
      <c r="E285" s="2" t="str">
        <f t="shared" si="4"/>
        <v>Positive</v>
      </c>
    </row>
    <row r="286" spans="1:5" x14ac:dyDescent="0.3">
      <c r="A286" s="2" t="s">
        <v>155</v>
      </c>
      <c r="B286" s="2" t="s">
        <v>312</v>
      </c>
      <c r="C286" s="2" t="s">
        <v>312</v>
      </c>
      <c r="D286" s="2" cm="1">
        <f t="array" ref="D286">IF(C286="Excellent",4,IF(C286="Good",3,IF(C286="Average",2,IF(C286="Poor",1,Unknown))))</f>
        <v>3</v>
      </c>
      <c r="E286" s="2" t="str">
        <f t="shared" si="4"/>
        <v>Positive</v>
      </c>
    </row>
    <row r="287" spans="1:5" x14ac:dyDescent="0.3">
      <c r="A287" s="2" t="s">
        <v>826</v>
      </c>
      <c r="B287" s="2" t="s">
        <v>312</v>
      </c>
      <c r="C287" s="2" t="s">
        <v>312</v>
      </c>
      <c r="D287" s="2" cm="1">
        <f t="array" ref="D287">IF(C287="Excellent",4,IF(C287="Good",3,IF(C287="Average",2,IF(C287="Poor",1,Unknown))))</f>
        <v>3</v>
      </c>
      <c r="E287" s="2" t="str">
        <f t="shared" si="4"/>
        <v>Positive</v>
      </c>
    </row>
    <row r="288" spans="1:5" x14ac:dyDescent="0.3">
      <c r="A288" s="2" t="s">
        <v>943</v>
      </c>
      <c r="B288" s="2" t="s">
        <v>312</v>
      </c>
      <c r="C288" s="2" t="s">
        <v>312</v>
      </c>
      <c r="D288" s="2" cm="1">
        <f t="array" ref="D288">IF(C288="Excellent",4,IF(C288="Good",3,IF(C288="Average",2,IF(C288="Poor",1,Unknown))))</f>
        <v>3</v>
      </c>
      <c r="E288" s="2" t="str">
        <f t="shared" si="4"/>
        <v>Positive</v>
      </c>
    </row>
    <row r="289" spans="1:5" x14ac:dyDescent="0.3">
      <c r="A289" s="2" t="s">
        <v>664</v>
      </c>
      <c r="B289" s="2" t="s">
        <v>312</v>
      </c>
      <c r="C289" s="2" t="s">
        <v>312</v>
      </c>
      <c r="D289" s="2" cm="1">
        <f t="array" ref="D289">IF(C289="Excellent",4,IF(C289="Good",3,IF(C289="Average",2,IF(C289="Poor",1,Unknown))))</f>
        <v>3</v>
      </c>
      <c r="E289" s="2" t="str">
        <f t="shared" si="4"/>
        <v>Positive</v>
      </c>
    </row>
    <row r="290" spans="1:5" x14ac:dyDescent="0.3">
      <c r="A290" s="2" t="s">
        <v>887</v>
      </c>
      <c r="B290" s="2" t="s">
        <v>312</v>
      </c>
      <c r="C290" s="2" t="s">
        <v>312</v>
      </c>
      <c r="D290" s="2" cm="1">
        <f t="array" ref="D290">IF(C290="Excellent",4,IF(C290="Good",3,IF(C290="Average",2,IF(C290="Poor",1,Unknown))))</f>
        <v>3</v>
      </c>
      <c r="E290" s="2" t="str">
        <f t="shared" si="4"/>
        <v>Positive</v>
      </c>
    </row>
    <row r="291" spans="1:5" x14ac:dyDescent="0.3">
      <c r="A291" s="2" t="s">
        <v>877</v>
      </c>
      <c r="B291" s="2" t="s">
        <v>312</v>
      </c>
      <c r="C291" s="2" t="s">
        <v>312</v>
      </c>
      <c r="D291" s="2" cm="1">
        <f t="array" ref="D291">IF(C291="Excellent",4,IF(C291="Good",3,IF(C291="Average",2,IF(C291="Poor",1,Unknown))))</f>
        <v>3</v>
      </c>
      <c r="E291" s="2" t="str">
        <f t="shared" si="4"/>
        <v>Positive</v>
      </c>
    </row>
    <row r="292" spans="1:5" x14ac:dyDescent="0.3">
      <c r="A292" s="2" t="s">
        <v>865</v>
      </c>
      <c r="B292" s="2" t="s">
        <v>312</v>
      </c>
      <c r="C292" s="2" t="s">
        <v>312</v>
      </c>
      <c r="D292" s="2" cm="1">
        <f t="array" ref="D292">IF(C292="Excellent",4,IF(C292="Good",3,IF(C292="Average",2,IF(C292="Poor",1,Unknown))))</f>
        <v>3</v>
      </c>
      <c r="E292" s="2" t="str">
        <f t="shared" si="4"/>
        <v>Positive</v>
      </c>
    </row>
    <row r="293" spans="1:5" x14ac:dyDescent="0.3">
      <c r="A293" s="2" t="s">
        <v>137</v>
      </c>
      <c r="B293" s="2" t="s">
        <v>312</v>
      </c>
      <c r="C293" s="2" t="s">
        <v>312</v>
      </c>
      <c r="D293" s="2" cm="1">
        <f t="array" ref="D293">IF(C293="Excellent",4,IF(C293="Good",3,IF(C293="Average",2,IF(C293="Poor",1,Unknown))))</f>
        <v>3</v>
      </c>
      <c r="E293" s="2" t="str">
        <f t="shared" si="4"/>
        <v>Positive</v>
      </c>
    </row>
    <row r="294" spans="1:5" x14ac:dyDescent="0.3">
      <c r="A294" s="2" t="s">
        <v>202</v>
      </c>
      <c r="B294" s="2" t="s">
        <v>312</v>
      </c>
      <c r="C294" s="2" t="s">
        <v>312</v>
      </c>
      <c r="D294" s="2" cm="1">
        <f t="array" ref="D294">IF(C294="Excellent",4,IF(C294="Good",3,IF(C294="Average",2,IF(C294="Poor",1,Unknown))))</f>
        <v>3</v>
      </c>
      <c r="E294" s="2" t="str">
        <f t="shared" si="4"/>
        <v>Positive</v>
      </c>
    </row>
    <row r="295" spans="1:5" x14ac:dyDescent="0.3">
      <c r="A295" s="2" t="s">
        <v>755</v>
      </c>
      <c r="B295" s="2" t="s">
        <v>312</v>
      </c>
      <c r="C295" s="2" t="s">
        <v>312</v>
      </c>
      <c r="D295" s="2" cm="1">
        <f t="array" ref="D295">IF(C295="Excellent",4,IF(C295="Good",3,IF(C295="Average",2,IF(C295="Poor",1,Unknown))))</f>
        <v>3</v>
      </c>
      <c r="E295" s="2" t="str">
        <f t="shared" si="4"/>
        <v>Positive</v>
      </c>
    </row>
    <row r="296" spans="1:5" x14ac:dyDescent="0.3">
      <c r="A296" s="2" t="s">
        <v>168</v>
      </c>
      <c r="B296" s="2" t="s">
        <v>312</v>
      </c>
      <c r="C296" s="2" t="s">
        <v>312</v>
      </c>
      <c r="D296" s="2" cm="1">
        <f t="array" ref="D296">IF(C296="Excellent",4,IF(C296="Good",3,IF(C296="Average",2,IF(C296="Poor",1,Unknown))))</f>
        <v>3</v>
      </c>
      <c r="E296" s="2" t="str">
        <f t="shared" si="4"/>
        <v>Positive</v>
      </c>
    </row>
    <row r="297" spans="1:5" x14ac:dyDescent="0.3">
      <c r="A297" s="2" t="s">
        <v>762</v>
      </c>
      <c r="B297" s="2" t="s">
        <v>312</v>
      </c>
      <c r="C297" s="2" t="s">
        <v>312</v>
      </c>
      <c r="D297" s="2" cm="1">
        <f t="array" ref="D297">IF(C297="Excellent",4,IF(C297="Good",3,IF(C297="Average",2,IF(C297="Poor",1,Unknown))))</f>
        <v>3</v>
      </c>
      <c r="E297" s="2" t="str">
        <f t="shared" si="4"/>
        <v>Positive</v>
      </c>
    </row>
    <row r="298" spans="1:5" x14ac:dyDescent="0.3">
      <c r="A298" s="2" t="s">
        <v>707</v>
      </c>
      <c r="B298" s="2" t="s">
        <v>312</v>
      </c>
      <c r="C298" s="2" t="s">
        <v>312</v>
      </c>
      <c r="D298" s="2" cm="1">
        <f t="array" ref="D298">IF(C298="Excellent",4,IF(C298="Good",3,IF(C298="Average",2,IF(C298="Poor",1,Unknown))))</f>
        <v>3</v>
      </c>
      <c r="E298" s="2" t="str">
        <f t="shared" si="4"/>
        <v>Positive</v>
      </c>
    </row>
    <row r="299" spans="1:5" x14ac:dyDescent="0.3">
      <c r="A299" s="2" t="s">
        <v>206</v>
      </c>
      <c r="B299" s="2" t="s">
        <v>312</v>
      </c>
      <c r="C299" s="2" t="s">
        <v>312</v>
      </c>
      <c r="D299" s="2" cm="1">
        <f t="array" ref="D299">IF(C299="Excellent",4,IF(C299="Good",3,IF(C299="Average",2,IF(C299="Poor",1,Unknown))))</f>
        <v>3</v>
      </c>
      <c r="E299" s="2" t="str">
        <f t="shared" si="4"/>
        <v>Positive</v>
      </c>
    </row>
    <row r="300" spans="1:5" x14ac:dyDescent="0.3">
      <c r="A300" s="2" t="s">
        <v>666</v>
      </c>
      <c r="B300" s="2" t="s">
        <v>312</v>
      </c>
      <c r="C300" s="2" t="s">
        <v>312</v>
      </c>
      <c r="D300" s="2" cm="1">
        <f t="array" ref="D300">IF(C300="Excellent",4,IF(C300="Good",3,IF(C300="Average",2,IF(C300="Poor",1,Unknown))))</f>
        <v>3</v>
      </c>
      <c r="E300" s="2" t="str">
        <f t="shared" si="4"/>
        <v>Positive</v>
      </c>
    </row>
    <row r="301" spans="1:5" x14ac:dyDescent="0.3">
      <c r="A301" s="2" t="s">
        <v>196</v>
      </c>
      <c r="B301" s="2" t="s">
        <v>312</v>
      </c>
      <c r="C301" s="2" t="s">
        <v>312</v>
      </c>
      <c r="D301" s="2" cm="1">
        <f t="array" ref="D301">IF(C301="Excellent",4,IF(C301="Good",3,IF(C301="Average",2,IF(C301="Poor",1,Unknown))))</f>
        <v>3</v>
      </c>
      <c r="E301" s="2" t="str">
        <f t="shared" si="4"/>
        <v>Positive</v>
      </c>
    </row>
    <row r="302" spans="1:5" x14ac:dyDescent="0.3">
      <c r="A302" s="2" t="s">
        <v>216</v>
      </c>
      <c r="B302" s="2" t="s">
        <v>312</v>
      </c>
      <c r="C302" s="2" t="s">
        <v>312</v>
      </c>
      <c r="D302" s="2" cm="1">
        <f t="array" ref="D302">IF(C302="Excellent",4,IF(C302="Good",3,IF(C302="Average",2,IF(C302="Poor",1,Unknown))))</f>
        <v>3</v>
      </c>
      <c r="E302" s="2" t="str">
        <f t="shared" si="4"/>
        <v>Positive</v>
      </c>
    </row>
    <row r="303" spans="1:5" x14ac:dyDescent="0.3">
      <c r="A303" s="2" t="s">
        <v>135</v>
      </c>
      <c r="B303" s="2" t="s">
        <v>312</v>
      </c>
      <c r="C303" s="2" t="s">
        <v>312</v>
      </c>
      <c r="D303" s="2" cm="1">
        <f t="array" ref="D303">IF(C303="Excellent",4,IF(C303="Good",3,IF(C303="Average",2,IF(C303="Poor",1,Unknown))))</f>
        <v>3</v>
      </c>
      <c r="E303" s="2" t="str">
        <f t="shared" si="4"/>
        <v>Positive</v>
      </c>
    </row>
    <row r="304" spans="1:5" x14ac:dyDescent="0.3">
      <c r="A304" s="2" t="s">
        <v>799</v>
      </c>
      <c r="B304" s="2" t="s">
        <v>312</v>
      </c>
      <c r="C304" s="2" t="s">
        <v>312</v>
      </c>
      <c r="D304" s="2" cm="1">
        <f t="array" ref="D304">IF(C304="Excellent",4,IF(C304="Good",3,IF(C304="Average",2,IF(C304="Poor",1,Unknown))))</f>
        <v>3</v>
      </c>
      <c r="E304" s="2" t="str">
        <f t="shared" si="4"/>
        <v>Positive</v>
      </c>
    </row>
    <row r="305" spans="1:5" x14ac:dyDescent="0.3">
      <c r="A305" s="2" t="s">
        <v>144</v>
      </c>
      <c r="B305" s="2" t="s">
        <v>312</v>
      </c>
      <c r="C305" s="2" t="s">
        <v>312</v>
      </c>
      <c r="D305" s="2" cm="1">
        <f t="array" ref="D305">IF(C305="Excellent",4,IF(C305="Good",3,IF(C305="Average",2,IF(C305="Poor",1,Unknown))))</f>
        <v>3</v>
      </c>
      <c r="E305" s="2" t="str">
        <f t="shared" si="4"/>
        <v>Positive</v>
      </c>
    </row>
    <row r="306" spans="1:5" x14ac:dyDescent="0.3">
      <c r="A306" s="2" t="s">
        <v>141</v>
      </c>
      <c r="B306" s="2" t="s">
        <v>312</v>
      </c>
      <c r="C306" s="2" t="s">
        <v>312</v>
      </c>
      <c r="D306" s="2" cm="1">
        <f t="array" ref="D306">IF(C306="Excellent",4,IF(C306="Good",3,IF(C306="Average",2,IF(C306="Poor",1,Unknown))))</f>
        <v>3</v>
      </c>
      <c r="E306" s="2" t="str">
        <f t="shared" si="4"/>
        <v>Positive</v>
      </c>
    </row>
    <row r="307" spans="1:5" x14ac:dyDescent="0.3">
      <c r="A307" s="2" t="s">
        <v>889</v>
      </c>
      <c r="B307" s="2" t="s">
        <v>312</v>
      </c>
      <c r="C307" s="2" t="s">
        <v>312</v>
      </c>
      <c r="D307" s="2" cm="1">
        <f t="array" ref="D307">IF(C307="Excellent",4,IF(C307="Good",3,IF(C307="Average",2,IF(C307="Poor",1,Unknown))))</f>
        <v>3</v>
      </c>
      <c r="E307" s="2" t="str">
        <f t="shared" si="4"/>
        <v>Positive</v>
      </c>
    </row>
    <row r="308" spans="1:5" x14ac:dyDescent="0.3">
      <c r="A308" s="2" t="s">
        <v>671</v>
      </c>
      <c r="B308" s="2" t="s">
        <v>314</v>
      </c>
      <c r="C308" s="2" t="s">
        <v>314</v>
      </c>
      <c r="D308" s="2" cm="1">
        <f t="array" ref="D308">IF(C308="Excellent",4,IF(C308="Good",3,IF(C308="Average",2,IF(C308="Poor",1,Unknown))))</f>
        <v>1</v>
      </c>
      <c r="E308" s="2" t="str">
        <f t="shared" si="4"/>
        <v>Nuetral/Negative</v>
      </c>
    </row>
    <row r="309" spans="1:5" x14ac:dyDescent="0.3">
      <c r="A309" s="2" t="s">
        <v>797</v>
      </c>
      <c r="B309" s="2" t="s">
        <v>314</v>
      </c>
      <c r="C309" s="2" t="s">
        <v>314</v>
      </c>
      <c r="D309" s="2" cm="1">
        <f t="array" ref="D309">IF(C309="Excellent",4,IF(C309="Good",3,IF(C309="Average",2,IF(C309="Poor",1,Unknown))))</f>
        <v>1</v>
      </c>
      <c r="E309" s="2" t="str">
        <f t="shared" si="4"/>
        <v>Nuetral/Negative</v>
      </c>
    </row>
    <row r="310" spans="1:5" x14ac:dyDescent="0.3">
      <c r="A310" s="2" t="s">
        <v>689</v>
      </c>
      <c r="B310" s="2" t="s">
        <v>314</v>
      </c>
      <c r="C310" s="2" t="s">
        <v>314</v>
      </c>
      <c r="D310" s="2" cm="1">
        <f t="array" ref="D310">IF(C310="Excellent",4,IF(C310="Good",3,IF(C310="Average",2,IF(C310="Poor",1,Unknown))))</f>
        <v>1</v>
      </c>
      <c r="E310" s="2" t="str">
        <f t="shared" si="4"/>
        <v>Nuetral/Negative</v>
      </c>
    </row>
    <row r="311" spans="1:5" x14ac:dyDescent="0.3">
      <c r="A311" s="2" t="s">
        <v>223</v>
      </c>
      <c r="B311" s="2" t="s">
        <v>314</v>
      </c>
      <c r="C311" s="2" t="s">
        <v>314</v>
      </c>
      <c r="D311" s="2" cm="1">
        <f t="array" ref="D311">IF(C311="Excellent",4,IF(C311="Good",3,IF(C311="Average",2,IF(C311="Poor",1,Unknown))))</f>
        <v>1</v>
      </c>
      <c r="E311" s="2" t="str">
        <f t="shared" si="4"/>
        <v>Nuetral/Negative</v>
      </c>
    </row>
    <row r="312" spans="1:5" x14ac:dyDescent="0.3">
      <c r="A312" s="2" t="s">
        <v>162</v>
      </c>
      <c r="B312" s="2" t="s">
        <v>314</v>
      </c>
      <c r="C312" s="2" t="s">
        <v>314</v>
      </c>
      <c r="D312" s="2" cm="1">
        <f t="array" ref="D312">IF(C312="Excellent",4,IF(C312="Good",3,IF(C312="Average",2,IF(C312="Poor",1,Unknown))))</f>
        <v>1</v>
      </c>
      <c r="E312" s="2" t="str">
        <f t="shared" si="4"/>
        <v>Nuetral/Negative</v>
      </c>
    </row>
    <row r="313" spans="1:5" x14ac:dyDescent="0.3">
      <c r="A313" s="2" t="s">
        <v>843</v>
      </c>
      <c r="B313" s="2" t="s">
        <v>314</v>
      </c>
      <c r="C313" s="2" t="s">
        <v>314</v>
      </c>
      <c r="D313" s="2" cm="1">
        <f t="array" ref="D313">IF(C313="Excellent",4,IF(C313="Good",3,IF(C313="Average",2,IF(C313="Poor",1,Unknown))))</f>
        <v>1</v>
      </c>
      <c r="E313" s="2" t="str">
        <f t="shared" si="4"/>
        <v>Nuetral/Negative</v>
      </c>
    </row>
    <row r="314" spans="1:5" x14ac:dyDescent="0.3">
      <c r="A314" s="2" t="s">
        <v>775</v>
      </c>
      <c r="B314" s="2" t="s">
        <v>314</v>
      </c>
      <c r="C314" s="2" t="s">
        <v>314</v>
      </c>
      <c r="D314" s="2" cm="1">
        <f t="array" ref="D314">IF(C314="Excellent",4,IF(C314="Good",3,IF(C314="Average",2,IF(C314="Poor",1,Unknown))))</f>
        <v>1</v>
      </c>
      <c r="E314" s="2" t="str">
        <f t="shared" si="4"/>
        <v>Nuetral/Negative</v>
      </c>
    </row>
    <row r="315" spans="1:5" x14ac:dyDescent="0.3">
      <c r="A315" s="2" t="s">
        <v>198</v>
      </c>
      <c r="B315" s="2" t="s">
        <v>314</v>
      </c>
      <c r="C315" s="2" t="s">
        <v>314</v>
      </c>
      <c r="D315" s="2" cm="1">
        <f t="array" ref="D315">IF(C315="Excellent",4,IF(C315="Good",3,IF(C315="Average",2,IF(C315="Poor",1,Unknown))))</f>
        <v>1</v>
      </c>
      <c r="E315" s="2" t="str">
        <f t="shared" si="4"/>
        <v>Nuetral/Negative</v>
      </c>
    </row>
    <row r="316" spans="1:5" x14ac:dyDescent="0.3">
      <c r="A316" s="2" t="s">
        <v>219</v>
      </c>
      <c r="B316" s="2" t="s">
        <v>314</v>
      </c>
      <c r="C316" s="2" t="s">
        <v>314</v>
      </c>
      <c r="D316" s="2" cm="1">
        <f t="array" ref="D316">IF(C316="Excellent",4,IF(C316="Good",3,IF(C316="Average",2,IF(C316="Poor",1,Unknown))))</f>
        <v>1</v>
      </c>
      <c r="E316" s="2" t="str">
        <f t="shared" si="4"/>
        <v>Nuetral/Negative</v>
      </c>
    </row>
    <row r="317" spans="1:5" x14ac:dyDescent="0.3">
      <c r="A317" s="2" t="s">
        <v>166</v>
      </c>
      <c r="B317" s="2" t="s">
        <v>314</v>
      </c>
      <c r="C317" s="2" t="s">
        <v>314</v>
      </c>
      <c r="D317" s="2" cm="1">
        <f t="array" ref="D317">IF(C317="Excellent",4,IF(C317="Good",3,IF(C317="Average",2,IF(C317="Poor",1,Unknown))))</f>
        <v>1</v>
      </c>
      <c r="E317" s="2" t="str">
        <f t="shared" si="4"/>
        <v>Nuetral/Negative</v>
      </c>
    </row>
    <row r="318" spans="1:5" x14ac:dyDescent="0.3">
      <c r="A318" s="2" t="s">
        <v>835</v>
      </c>
      <c r="B318" s="2" t="s">
        <v>314</v>
      </c>
      <c r="C318" s="2" t="s">
        <v>314</v>
      </c>
      <c r="D318" s="2" cm="1">
        <f t="array" ref="D318">IF(C318="Excellent",4,IF(C318="Good",3,IF(C318="Average",2,IF(C318="Poor",1,Unknown))))</f>
        <v>1</v>
      </c>
      <c r="E318" s="2" t="str">
        <f t="shared" si="4"/>
        <v>Nuetral/Negative</v>
      </c>
    </row>
    <row r="319" spans="1:5" x14ac:dyDescent="0.3">
      <c r="A319" s="2" t="s">
        <v>778</v>
      </c>
      <c r="B319" s="2" t="s">
        <v>314</v>
      </c>
      <c r="C319" s="2" t="s">
        <v>314</v>
      </c>
      <c r="D319" s="2" cm="1">
        <f t="array" ref="D319">IF(C319="Excellent",4,IF(C319="Good",3,IF(C319="Average",2,IF(C319="Poor",1,Unknown))))</f>
        <v>1</v>
      </c>
      <c r="E319" s="2" t="str">
        <f t="shared" si="4"/>
        <v>Nuetral/Negative</v>
      </c>
    </row>
    <row r="320" spans="1:5" x14ac:dyDescent="0.3">
      <c r="A320" s="2" t="s">
        <v>669</v>
      </c>
      <c r="B320" s="2" t="s">
        <v>314</v>
      </c>
      <c r="C320" s="2" t="s">
        <v>314</v>
      </c>
      <c r="D320" s="2" cm="1">
        <f t="array" ref="D320">IF(C320="Excellent",4,IF(C320="Good",3,IF(C320="Average",2,IF(C320="Poor",1,Unknown))))</f>
        <v>1</v>
      </c>
      <c r="E320" s="2" t="str">
        <f t="shared" si="4"/>
        <v>Nuetral/Negative</v>
      </c>
    </row>
    <row r="321" spans="1:5" x14ac:dyDescent="0.3">
      <c r="A321" s="2" t="s">
        <v>924</v>
      </c>
      <c r="B321" s="2" t="s">
        <v>314</v>
      </c>
      <c r="C321" s="2" t="s">
        <v>314</v>
      </c>
      <c r="D321" s="2" cm="1">
        <f t="array" ref="D321">IF(C321="Excellent",4,IF(C321="Good",3,IF(C321="Average",2,IF(C321="Poor",1,Unknown))))</f>
        <v>1</v>
      </c>
      <c r="E321" s="2" t="str">
        <f t="shared" si="4"/>
        <v>Nuetral/Negative</v>
      </c>
    </row>
    <row r="322" spans="1:5" x14ac:dyDescent="0.3">
      <c r="A322" s="2" t="s">
        <v>747</v>
      </c>
      <c r="B322" s="2" t="s">
        <v>314</v>
      </c>
      <c r="C322" s="2" t="s">
        <v>314</v>
      </c>
      <c r="D322" s="2" cm="1">
        <f t="array" ref="D322">IF(C322="Excellent",4,IF(C322="Good",3,IF(C322="Average",2,IF(C322="Poor",1,Unknown))))</f>
        <v>1</v>
      </c>
      <c r="E322" s="2" t="str">
        <f t="shared" si="4"/>
        <v>Nuetral/Negative</v>
      </c>
    </row>
    <row r="323" spans="1:5" x14ac:dyDescent="0.3">
      <c r="A323" s="2" t="s">
        <v>941</v>
      </c>
      <c r="B323" s="2" t="s">
        <v>314</v>
      </c>
      <c r="C323" s="2" t="s">
        <v>314</v>
      </c>
      <c r="D323" s="2" cm="1">
        <f t="array" ref="D323">IF(C323="Excellent",4,IF(C323="Good",3,IF(C323="Average",2,IF(C323="Poor",1,Unknown))))</f>
        <v>1</v>
      </c>
      <c r="E323" s="2" t="str">
        <f t="shared" ref="E323:E386" si="5">IF(OR(C323="Average",C323="Poor"),"Nuetral/Negative","Positive")</f>
        <v>Nuetral/Negative</v>
      </c>
    </row>
    <row r="324" spans="1:5" x14ac:dyDescent="0.3">
      <c r="A324" s="2" t="s">
        <v>932</v>
      </c>
      <c r="B324" s="2" t="s">
        <v>314</v>
      </c>
      <c r="C324" s="2" t="s">
        <v>314</v>
      </c>
      <c r="D324" s="2" cm="1">
        <f t="array" ref="D324">IF(C324="Excellent",4,IF(C324="Good",3,IF(C324="Average",2,IF(C324="Poor",1,Unknown))))</f>
        <v>1</v>
      </c>
      <c r="E324" s="2" t="str">
        <f t="shared" si="5"/>
        <v>Nuetral/Negative</v>
      </c>
    </row>
    <row r="325" spans="1:5" x14ac:dyDescent="0.3">
      <c r="A325" s="2" t="s">
        <v>746</v>
      </c>
      <c r="B325" s="2" t="s">
        <v>314</v>
      </c>
      <c r="C325" s="2" t="s">
        <v>314</v>
      </c>
      <c r="D325" s="2" cm="1">
        <f t="array" ref="D325">IF(C325="Excellent",4,IF(C325="Good",3,IF(C325="Average",2,IF(C325="Poor",1,Unknown))))</f>
        <v>1</v>
      </c>
      <c r="E325" s="2" t="str">
        <f t="shared" si="5"/>
        <v>Nuetral/Negative</v>
      </c>
    </row>
    <row r="326" spans="1:5" x14ac:dyDescent="0.3">
      <c r="A326" s="2" t="s">
        <v>862</v>
      </c>
      <c r="B326" s="2" t="s">
        <v>314</v>
      </c>
      <c r="C326" s="2" t="s">
        <v>314</v>
      </c>
      <c r="D326" s="2" cm="1">
        <f t="array" ref="D326">IF(C326="Excellent",4,IF(C326="Good",3,IF(C326="Average",2,IF(C326="Poor",1,Unknown))))</f>
        <v>1</v>
      </c>
      <c r="E326" s="2" t="str">
        <f t="shared" si="5"/>
        <v>Nuetral/Negative</v>
      </c>
    </row>
    <row r="327" spans="1:5" x14ac:dyDescent="0.3">
      <c r="A327" s="2" t="s">
        <v>698</v>
      </c>
      <c r="B327" s="2" t="s">
        <v>314</v>
      </c>
      <c r="C327" s="2" t="s">
        <v>314</v>
      </c>
      <c r="D327" s="2" cm="1">
        <f t="array" ref="D327">IF(C327="Excellent",4,IF(C327="Good",3,IF(C327="Average",2,IF(C327="Poor",1,Unknown))))</f>
        <v>1</v>
      </c>
      <c r="E327" s="2" t="str">
        <f t="shared" si="5"/>
        <v>Nuetral/Negative</v>
      </c>
    </row>
    <row r="328" spans="1:5" x14ac:dyDescent="0.3">
      <c r="A328" s="2" t="s">
        <v>759</v>
      </c>
      <c r="B328" s="2" t="s">
        <v>314</v>
      </c>
      <c r="C328" s="2" t="s">
        <v>314</v>
      </c>
      <c r="D328" s="2" cm="1">
        <f t="array" ref="D328">IF(C328="Excellent",4,IF(C328="Good",3,IF(C328="Average",2,IF(C328="Poor",1,Unknown))))</f>
        <v>1</v>
      </c>
      <c r="E328" s="2" t="str">
        <f t="shared" si="5"/>
        <v>Nuetral/Negative</v>
      </c>
    </row>
    <row r="329" spans="1:5" x14ac:dyDescent="0.3">
      <c r="A329" s="2" t="s">
        <v>819</v>
      </c>
      <c r="B329" s="2" t="s">
        <v>314</v>
      </c>
      <c r="C329" s="2" t="s">
        <v>314</v>
      </c>
      <c r="D329" s="2" cm="1">
        <f t="array" ref="D329">IF(C329="Excellent",4,IF(C329="Good",3,IF(C329="Average",2,IF(C329="Poor",1,Unknown))))</f>
        <v>1</v>
      </c>
      <c r="E329" s="2" t="str">
        <f t="shared" si="5"/>
        <v>Nuetral/Negative</v>
      </c>
    </row>
    <row r="330" spans="1:5" x14ac:dyDescent="0.3">
      <c r="A330" s="2" t="s">
        <v>704</v>
      </c>
      <c r="B330" s="2" t="s">
        <v>314</v>
      </c>
      <c r="C330" s="2" t="s">
        <v>314</v>
      </c>
      <c r="D330" s="2" cm="1">
        <f t="array" ref="D330">IF(C330="Excellent",4,IF(C330="Good",3,IF(C330="Average",2,IF(C330="Poor",1,Unknown))))</f>
        <v>1</v>
      </c>
      <c r="E330" s="2" t="str">
        <f t="shared" si="5"/>
        <v>Nuetral/Negative</v>
      </c>
    </row>
    <row r="331" spans="1:5" x14ac:dyDescent="0.3">
      <c r="A331" s="2" t="s">
        <v>779</v>
      </c>
      <c r="B331" s="2" t="s">
        <v>314</v>
      </c>
      <c r="C331" s="2" t="s">
        <v>314</v>
      </c>
      <c r="D331" s="2" cm="1">
        <f t="array" ref="D331">IF(C331="Excellent",4,IF(C331="Good",3,IF(C331="Average",2,IF(C331="Poor",1,Unknown))))</f>
        <v>1</v>
      </c>
      <c r="E331" s="2" t="str">
        <f t="shared" si="5"/>
        <v>Nuetral/Negative</v>
      </c>
    </row>
    <row r="332" spans="1:5" x14ac:dyDescent="0.3">
      <c r="A332" s="2" t="s">
        <v>221</v>
      </c>
      <c r="B332" s="2" t="s">
        <v>314</v>
      </c>
      <c r="C332" s="2" t="s">
        <v>314</v>
      </c>
      <c r="D332" s="2" cm="1">
        <f t="array" ref="D332">IF(C332="Excellent",4,IF(C332="Good",3,IF(C332="Average",2,IF(C332="Poor",1,Unknown))))</f>
        <v>1</v>
      </c>
      <c r="E332" s="2" t="str">
        <f t="shared" si="5"/>
        <v>Nuetral/Negative</v>
      </c>
    </row>
    <row r="333" spans="1:5" x14ac:dyDescent="0.3">
      <c r="A333" s="2" t="s">
        <v>706</v>
      </c>
      <c r="B333" s="2" t="s">
        <v>314</v>
      </c>
      <c r="C333" s="2" t="s">
        <v>314</v>
      </c>
      <c r="D333" s="2" cm="1">
        <f t="array" ref="D333">IF(C333="Excellent",4,IF(C333="Good",3,IF(C333="Average",2,IF(C333="Poor",1,Unknown))))</f>
        <v>1</v>
      </c>
      <c r="E333" s="2" t="str">
        <f t="shared" si="5"/>
        <v>Nuetral/Negative</v>
      </c>
    </row>
    <row r="334" spans="1:5" x14ac:dyDescent="0.3">
      <c r="A334" s="2" t="s">
        <v>853</v>
      </c>
      <c r="B334" s="2" t="s">
        <v>314</v>
      </c>
      <c r="C334" s="2" t="s">
        <v>314</v>
      </c>
      <c r="D334" s="2" cm="1">
        <f t="array" ref="D334">IF(C334="Excellent",4,IF(C334="Good",3,IF(C334="Average",2,IF(C334="Poor",1,Unknown))))</f>
        <v>1</v>
      </c>
      <c r="E334" s="2" t="str">
        <f t="shared" si="5"/>
        <v>Nuetral/Negative</v>
      </c>
    </row>
    <row r="335" spans="1:5" x14ac:dyDescent="0.3">
      <c r="A335" s="2" t="s">
        <v>804</v>
      </c>
      <c r="B335" s="2" t="s">
        <v>314</v>
      </c>
      <c r="C335" s="2" t="s">
        <v>314</v>
      </c>
      <c r="D335" s="2" cm="1">
        <f t="array" ref="D335">IF(C335="Excellent",4,IF(C335="Good",3,IF(C335="Average",2,IF(C335="Poor",1,Unknown))))</f>
        <v>1</v>
      </c>
      <c r="E335" s="2" t="str">
        <f t="shared" si="5"/>
        <v>Nuetral/Negative</v>
      </c>
    </row>
    <row r="336" spans="1:5" x14ac:dyDescent="0.3">
      <c r="A336" s="2" t="s">
        <v>780</v>
      </c>
      <c r="B336" s="2" t="s">
        <v>314</v>
      </c>
      <c r="C336" s="2" t="s">
        <v>314</v>
      </c>
      <c r="D336" s="2" cm="1">
        <f t="array" ref="D336">IF(C336="Excellent",4,IF(C336="Good",3,IF(C336="Average",2,IF(C336="Poor",1,Unknown))))</f>
        <v>1</v>
      </c>
      <c r="E336" s="2" t="str">
        <f t="shared" si="5"/>
        <v>Nuetral/Negative</v>
      </c>
    </row>
    <row r="337" spans="1:5" x14ac:dyDescent="0.3">
      <c r="A337" s="2" t="s">
        <v>152</v>
      </c>
      <c r="B337" s="2" t="s">
        <v>314</v>
      </c>
      <c r="C337" s="2" t="s">
        <v>314</v>
      </c>
      <c r="D337" s="2" cm="1">
        <f t="array" ref="D337">IF(C337="Excellent",4,IF(C337="Good",3,IF(C337="Average",2,IF(C337="Poor",1,Unknown))))</f>
        <v>1</v>
      </c>
      <c r="E337" s="2" t="str">
        <f t="shared" si="5"/>
        <v>Nuetral/Negative</v>
      </c>
    </row>
    <row r="338" spans="1:5" x14ac:dyDescent="0.3">
      <c r="A338" s="2" t="s">
        <v>684</v>
      </c>
      <c r="B338" s="2" t="s">
        <v>314</v>
      </c>
      <c r="C338" s="2" t="s">
        <v>314</v>
      </c>
      <c r="D338" s="2" cm="1">
        <f t="array" ref="D338">IF(C338="Excellent",4,IF(C338="Good",3,IF(C338="Average",2,IF(C338="Poor",1,Unknown))))</f>
        <v>1</v>
      </c>
      <c r="E338" s="2" t="str">
        <f t="shared" si="5"/>
        <v>Nuetral/Negative</v>
      </c>
    </row>
    <row r="339" spans="1:5" x14ac:dyDescent="0.3">
      <c r="A339" s="2" t="s">
        <v>816</v>
      </c>
      <c r="B339" s="2" t="s">
        <v>314</v>
      </c>
      <c r="C339" s="2" t="s">
        <v>314</v>
      </c>
      <c r="D339" s="2" cm="1">
        <f t="array" ref="D339">IF(C339="Excellent",4,IF(C339="Good",3,IF(C339="Average",2,IF(C339="Poor",1,Unknown))))</f>
        <v>1</v>
      </c>
      <c r="E339" s="2" t="str">
        <f t="shared" si="5"/>
        <v>Nuetral/Negative</v>
      </c>
    </row>
    <row r="340" spans="1:5" x14ac:dyDescent="0.3">
      <c r="A340" s="2" t="s">
        <v>767</v>
      </c>
      <c r="B340" s="2" t="s">
        <v>314</v>
      </c>
      <c r="C340" s="2" t="s">
        <v>314</v>
      </c>
      <c r="D340" s="2" cm="1">
        <f t="array" ref="D340">IF(C340="Excellent",4,IF(C340="Good",3,IF(C340="Average",2,IF(C340="Poor",1,Unknown))))</f>
        <v>1</v>
      </c>
      <c r="E340" s="2" t="str">
        <f t="shared" si="5"/>
        <v>Nuetral/Negative</v>
      </c>
    </row>
    <row r="341" spans="1:5" x14ac:dyDescent="0.3">
      <c r="A341" s="2" t="s">
        <v>894</v>
      </c>
      <c r="B341" s="2" t="s">
        <v>314</v>
      </c>
      <c r="C341" s="2" t="s">
        <v>314</v>
      </c>
      <c r="D341" s="2" cm="1">
        <f t="array" ref="D341">IF(C341="Excellent",4,IF(C341="Good",3,IF(C341="Average",2,IF(C341="Poor",1,Unknown))))</f>
        <v>1</v>
      </c>
      <c r="E341" s="2" t="str">
        <f t="shared" si="5"/>
        <v>Nuetral/Negative</v>
      </c>
    </row>
    <row r="342" spans="1:5" x14ac:dyDescent="0.3">
      <c r="A342" s="2" t="s">
        <v>734</v>
      </c>
      <c r="B342" s="2" t="s">
        <v>314</v>
      </c>
      <c r="C342" s="2" t="s">
        <v>314</v>
      </c>
      <c r="D342" s="2" cm="1">
        <f t="array" ref="D342">IF(C342="Excellent",4,IF(C342="Good",3,IF(C342="Average",2,IF(C342="Poor",1,Unknown))))</f>
        <v>1</v>
      </c>
      <c r="E342" s="2" t="str">
        <f t="shared" si="5"/>
        <v>Nuetral/Negative</v>
      </c>
    </row>
    <row r="343" spans="1:5" x14ac:dyDescent="0.3">
      <c r="A343" s="2" t="s">
        <v>700</v>
      </c>
      <c r="B343" s="2" t="s">
        <v>314</v>
      </c>
      <c r="C343" s="2" t="s">
        <v>314</v>
      </c>
      <c r="D343" s="2" cm="1">
        <f t="array" ref="D343">IF(C343="Excellent",4,IF(C343="Good",3,IF(C343="Average",2,IF(C343="Poor",1,Unknown))))</f>
        <v>1</v>
      </c>
      <c r="E343" s="2" t="str">
        <f t="shared" si="5"/>
        <v>Nuetral/Negative</v>
      </c>
    </row>
    <row r="344" spans="1:5" x14ac:dyDescent="0.3">
      <c r="A344" s="2" t="s">
        <v>936</v>
      </c>
      <c r="B344" s="2" t="s">
        <v>314</v>
      </c>
      <c r="C344" s="2" t="s">
        <v>314</v>
      </c>
      <c r="D344" s="2" cm="1">
        <f t="array" ref="D344">IF(C344="Excellent",4,IF(C344="Good",3,IF(C344="Average",2,IF(C344="Poor",1,Unknown))))</f>
        <v>1</v>
      </c>
      <c r="E344" s="2" t="str">
        <f t="shared" si="5"/>
        <v>Nuetral/Negative</v>
      </c>
    </row>
    <row r="345" spans="1:5" x14ac:dyDescent="0.3">
      <c r="A345" s="2" t="s">
        <v>173</v>
      </c>
      <c r="B345" s="2" t="s">
        <v>314</v>
      </c>
      <c r="C345" s="2" t="s">
        <v>314</v>
      </c>
      <c r="D345" s="2" cm="1">
        <f t="array" ref="D345">IF(C345="Excellent",4,IF(C345="Good",3,IF(C345="Average",2,IF(C345="Poor",1,Unknown))))</f>
        <v>1</v>
      </c>
      <c r="E345" s="2" t="str">
        <f t="shared" si="5"/>
        <v>Nuetral/Negative</v>
      </c>
    </row>
    <row r="346" spans="1:5" x14ac:dyDescent="0.3">
      <c r="A346" s="2" t="s">
        <v>146</v>
      </c>
      <c r="B346" s="2" t="s">
        <v>314</v>
      </c>
      <c r="C346" s="2" t="s">
        <v>314</v>
      </c>
      <c r="D346" s="2" cm="1">
        <f t="array" ref="D346">IF(C346="Excellent",4,IF(C346="Good",3,IF(C346="Average",2,IF(C346="Poor",1,Unknown))))</f>
        <v>1</v>
      </c>
      <c r="E346" s="2" t="str">
        <f t="shared" si="5"/>
        <v>Nuetral/Negative</v>
      </c>
    </row>
    <row r="347" spans="1:5" x14ac:dyDescent="0.3">
      <c r="A347" s="2" t="s">
        <v>695</v>
      </c>
      <c r="B347" s="2" t="s">
        <v>314</v>
      </c>
      <c r="C347" s="2" t="s">
        <v>314</v>
      </c>
      <c r="D347" s="2" cm="1">
        <f t="array" ref="D347">IF(C347="Excellent",4,IF(C347="Good",3,IF(C347="Average",2,IF(C347="Poor",1,Unknown))))</f>
        <v>1</v>
      </c>
      <c r="E347" s="2" t="str">
        <f t="shared" si="5"/>
        <v>Nuetral/Negative</v>
      </c>
    </row>
    <row r="348" spans="1:5" x14ac:dyDescent="0.3">
      <c r="A348" s="2" t="s">
        <v>866</v>
      </c>
      <c r="B348" s="2" t="s">
        <v>314</v>
      </c>
      <c r="C348" s="2" t="s">
        <v>314</v>
      </c>
      <c r="D348" s="2" cm="1">
        <f t="array" ref="D348">IF(C348="Excellent",4,IF(C348="Good",3,IF(C348="Average",2,IF(C348="Poor",1,Unknown))))</f>
        <v>1</v>
      </c>
      <c r="E348" s="2" t="str">
        <f t="shared" si="5"/>
        <v>Nuetral/Negative</v>
      </c>
    </row>
    <row r="349" spans="1:5" x14ac:dyDescent="0.3">
      <c r="A349" s="2" t="s">
        <v>139</v>
      </c>
      <c r="B349" s="2" t="s">
        <v>314</v>
      </c>
      <c r="C349" s="2" t="s">
        <v>314</v>
      </c>
      <c r="D349" s="2" cm="1">
        <f t="array" ref="D349">IF(C349="Excellent",4,IF(C349="Good",3,IF(C349="Average",2,IF(C349="Poor",1,Unknown))))</f>
        <v>1</v>
      </c>
      <c r="E349" s="2" t="str">
        <f t="shared" si="5"/>
        <v>Nuetral/Negative</v>
      </c>
    </row>
    <row r="350" spans="1:5" x14ac:dyDescent="0.3">
      <c r="A350" s="2" t="s">
        <v>749</v>
      </c>
      <c r="B350" s="2" t="s">
        <v>314</v>
      </c>
      <c r="C350" s="2" t="s">
        <v>314</v>
      </c>
      <c r="D350" s="2" cm="1">
        <f t="array" ref="D350">IF(C350="Excellent",4,IF(C350="Good",3,IF(C350="Average",2,IF(C350="Poor",1,Unknown))))</f>
        <v>1</v>
      </c>
      <c r="E350" s="2" t="str">
        <f t="shared" si="5"/>
        <v>Nuetral/Negative</v>
      </c>
    </row>
    <row r="351" spans="1:5" x14ac:dyDescent="0.3">
      <c r="A351" s="2" t="s">
        <v>771</v>
      </c>
      <c r="B351" s="2" t="s">
        <v>314</v>
      </c>
      <c r="C351" s="2" t="s">
        <v>314</v>
      </c>
      <c r="D351" s="2" cm="1">
        <f t="array" ref="D351">IF(C351="Excellent",4,IF(C351="Good",3,IF(C351="Average",2,IF(C351="Poor",1,Unknown))))</f>
        <v>1</v>
      </c>
      <c r="E351" s="2" t="str">
        <f t="shared" si="5"/>
        <v>Nuetral/Negative</v>
      </c>
    </row>
    <row r="352" spans="1:5" x14ac:dyDescent="0.3">
      <c r="A352" s="2" t="s">
        <v>744</v>
      </c>
      <c r="B352" s="2" t="s">
        <v>314</v>
      </c>
      <c r="C352" s="2" t="s">
        <v>314</v>
      </c>
      <c r="D352" s="2" cm="1">
        <f t="array" ref="D352">IF(C352="Excellent",4,IF(C352="Good",3,IF(C352="Average",2,IF(C352="Poor",1,Unknown))))</f>
        <v>1</v>
      </c>
      <c r="E352" s="2" t="str">
        <f t="shared" si="5"/>
        <v>Nuetral/Negative</v>
      </c>
    </row>
    <row r="353" spans="1:5" x14ac:dyDescent="0.3">
      <c r="A353" s="2" t="s">
        <v>696</v>
      </c>
      <c r="B353" s="2" t="s">
        <v>314</v>
      </c>
      <c r="C353" s="2" t="s">
        <v>314</v>
      </c>
      <c r="D353" s="2" cm="1">
        <f t="array" ref="D353">IF(C353="Excellent",4,IF(C353="Good",3,IF(C353="Average",2,IF(C353="Poor",1,Unknown))))</f>
        <v>1</v>
      </c>
      <c r="E353" s="2" t="str">
        <f t="shared" si="5"/>
        <v>Nuetral/Negative</v>
      </c>
    </row>
    <row r="354" spans="1:5" x14ac:dyDescent="0.3">
      <c r="A354" s="2" t="s">
        <v>192</v>
      </c>
      <c r="B354" s="2" t="s">
        <v>314</v>
      </c>
      <c r="C354" s="2" t="s">
        <v>314</v>
      </c>
      <c r="D354" s="2" cm="1">
        <f t="array" ref="D354">IF(C354="Excellent",4,IF(C354="Good",3,IF(C354="Average",2,IF(C354="Poor",1,Unknown))))</f>
        <v>1</v>
      </c>
      <c r="E354" s="2" t="str">
        <f t="shared" si="5"/>
        <v>Nuetral/Negative</v>
      </c>
    </row>
    <row r="355" spans="1:5" x14ac:dyDescent="0.3">
      <c r="A355" s="2" t="s">
        <v>925</v>
      </c>
      <c r="B355" s="2" t="s">
        <v>314</v>
      </c>
      <c r="C355" s="2" t="s">
        <v>314</v>
      </c>
      <c r="D355" s="2" cm="1">
        <f t="array" ref="D355">IF(C355="Excellent",4,IF(C355="Good",3,IF(C355="Average",2,IF(C355="Poor",1,Unknown))))</f>
        <v>1</v>
      </c>
      <c r="E355" s="2" t="str">
        <f t="shared" si="5"/>
        <v>Nuetral/Negative</v>
      </c>
    </row>
    <row r="356" spans="1:5" x14ac:dyDescent="0.3">
      <c r="A356" s="2" t="s">
        <v>931</v>
      </c>
      <c r="B356" s="2" t="s">
        <v>314</v>
      </c>
      <c r="C356" s="2" t="s">
        <v>314</v>
      </c>
      <c r="D356" s="2" cm="1">
        <f t="array" ref="D356">IF(C356="Excellent",4,IF(C356="Good",3,IF(C356="Average",2,IF(C356="Poor",1,Unknown))))</f>
        <v>1</v>
      </c>
      <c r="E356" s="2" t="str">
        <f t="shared" si="5"/>
        <v>Nuetral/Negative</v>
      </c>
    </row>
    <row r="357" spans="1:5" x14ac:dyDescent="0.3">
      <c r="A357" s="2" t="s">
        <v>886</v>
      </c>
      <c r="B357" s="2" t="s">
        <v>314</v>
      </c>
      <c r="C357" s="2" t="s">
        <v>314</v>
      </c>
      <c r="D357" s="2" cm="1">
        <f t="array" ref="D357">IF(C357="Excellent",4,IF(C357="Good",3,IF(C357="Average",2,IF(C357="Poor",1,Unknown))))</f>
        <v>1</v>
      </c>
      <c r="E357" s="2" t="str">
        <f t="shared" si="5"/>
        <v>Nuetral/Negative</v>
      </c>
    </row>
    <row r="358" spans="1:5" x14ac:dyDescent="0.3">
      <c r="A358" s="2" t="s">
        <v>811</v>
      </c>
      <c r="B358" s="2" t="s">
        <v>314</v>
      </c>
      <c r="C358" s="2" t="s">
        <v>314</v>
      </c>
      <c r="D358" s="2" cm="1">
        <f t="array" ref="D358">IF(C358="Excellent",4,IF(C358="Good",3,IF(C358="Average",2,IF(C358="Poor",1,Unknown))))</f>
        <v>1</v>
      </c>
      <c r="E358" s="2" t="str">
        <f t="shared" si="5"/>
        <v>Nuetral/Negative</v>
      </c>
    </row>
    <row r="359" spans="1:5" x14ac:dyDescent="0.3">
      <c r="A359" s="2" t="s">
        <v>212</v>
      </c>
      <c r="B359" s="2" t="s">
        <v>314</v>
      </c>
      <c r="C359" s="2" t="s">
        <v>314</v>
      </c>
      <c r="D359" s="2" cm="1">
        <f t="array" ref="D359">IF(C359="Excellent",4,IF(C359="Good",3,IF(C359="Average",2,IF(C359="Poor",1,Unknown))))</f>
        <v>1</v>
      </c>
      <c r="E359" s="2" t="str">
        <f t="shared" si="5"/>
        <v>Nuetral/Negative</v>
      </c>
    </row>
    <row r="360" spans="1:5" x14ac:dyDescent="0.3">
      <c r="A360" s="2" t="s">
        <v>229</v>
      </c>
      <c r="B360" s="2" t="s">
        <v>314</v>
      </c>
      <c r="C360" s="2" t="s">
        <v>314</v>
      </c>
      <c r="D360" s="2" cm="1">
        <f t="array" ref="D360">IF(C360="Excellent",4,IF(C360="Good",3,IF(C360="Average",2,IF(C360="Poor",1,Unknown))))</f>
        <v>1</v>
      </c>
      <c r="E360" s="2" t="str">
        <f t="shared" si="5"/>
        <v>Nuetral/Negative</v>
      </c>
    </row>
    <row r="361" spans="1:5" x14ac:dyDescent="0.3">
      <c r="A361" s="2" t="s">
        <v>177</v>
      </c>
      <c r="B361" s="2" t="s">
        <v>314</v>
      </c>
      <c r="C361" s="2" t="s">
        <v>314</v>
      </c>
      <c r="D361" s="2" cm="1">
        <f t="array" ref="D361">IF(C361="Excellent",4,IF(C361="Good",3,IF(C361="Average",2,IF(C361="Poor",1,Unknown))))</f>
        <v>1</v>
      </c>
      <c r="E361" s="2" t="str">
        <f t="shared" si="5"/>
        <v>Nuetral/Negative</v>
      </c>
    </row>
    <row r="362" spans="1:5" x14ac:dyDescent="0.3">
      <c r="A362" s="2" t="s">
        <v>195</v>
      </c>
      <c r="B362" s="2" t="s">
        <v>314</v>
      </c>
      <c r="C362" s="2" t="s">
        <v>314</v>
      </c>
      <c r="D362" s="2" cm="1">
        <f t="array" ref="D362">IF(C362="Excellent",4,IF(C362="Good",3,IF(C362="Average",2,IF(C362="Poor",1,Unknown))))</f>
        <v>1</v>
      </c>
      <c r="E362" s="2" t="str">
        <f t="shared" si="5"/>
        <v>Nuetral/Negative</v>
      </c>
    </row>
    <row r="363" spans="1:5" x14ac:dyDescent="0.3">
      <c r="A363" s="2" t="s">
        <v>782</v>
      </c>
      <c r="B363" s="2" t="s">
        <v>314</v>
      </c>
      <c r="C363" s="2" t="s">
        <v>314</v>
      </c>
      <c r="D363" s="2" cm="1">
        <f t="array" ref="D363">IF(C363="Excellent",4,IF(C363="Good",3,IF(C363="Average",2,IF(C363="Poor",1,Unknown))))</f>
        <v>1</v>
      </c>
      <c r="E363" s="2" t="str">
        <f t="shared" si="5"/>
        <v>Nuetral/Negative</v>
      </c>
    </row>
    <row r="364" spans="1:5" x14ac:dyDescent="0.3">
      <c r="A364" s="2" t="s">
        <v>661</v>
      </c>
      <c r="B364" s="2" t="s">
        <v>314</v>
      </c>
      <c r="C364" s="2" t="s">
        <v>314</v>
      </c>
      <c r="D364" s="2" cm="1">
        <f t="array" ref="D364">IF(C364="Excellent",4,IF(C364="Good",3,IF(C364="Average",2,IF(C364="Poor",1,Unknown))))</f>
        <v>1</v>
      </c>
      <c r="E364" s="2" t="str">
        <f t="shared" si="5"/>
        <v>Nuetral/Negative</v>
      </c>
    </row>
    <row r="365" spans="1:5" x14ac:dyDescent="0.3">
      <c r="A365" s="2" t="s">
        <v>918</v>
      </c>
      <c r="B365" s="2" t="s">
        <v>314</v>
      </c>
      <c r="C365" s="2" t="s">
        <v>314</v>
      </c>
      <c r="D365" s="2" cm="1">
        <f t="array" ref="D365">IF(C365="Excellent",4,IF(C365="Good",3,IF(C365="Average",2,IF(C365="Poor",1,Unknown))))</f>
        <v>1</v>
      </c>
      <c r="E365" s="2" t="str">
        <f t="shared" si="5"/>
        <v>Nuetral/Negative</v>
      </c>
    </row>
    <row r="366" spans="1:5" x14ac:dyDescent="0.3">
      <c r="A366" s="2" t="s">
        <v>788</v>
      </c>
      <c r="B366" s="2" t="s">
        <v>314</v>
      </c>
      <c r="C366" s="2" t="s">
        <v>314</v>
      </c>
      <c r="D366" s="2" cm="1">
        <f t="array" ref="D366">IF(C366="Excellent",4,IF(C366="Good",3,IF(C366="Average",2,IF(C366="Poor",1,Unknown))))</f>
        <v>1</v>
      </c>
      <c r="E366" s="2" t="str">
        <f t="shared" si="5"/>
        <v>Nuetral/Negative</v>
      </c>
    </row>
    <row r="367" spans="1:5" x14ac:dyDescent="0.3">
      <c r="A367" s="2" t="s">
        <v>715</v>
      </c>
      <c r="B367" s="2" t="s">
        <v>314</v>
      </c>
      <c r="C367" s="2" t="s">
        <v>314</v>
      </c>
      <c r="D367" s="2" cm="1">
        <f t="array" ref="D367">IF(C367="Excellent",4,IF(C367="Good",3,IF(C367="Average",2,IF(C367="Poor",1,Unknown))))</f>
        <v>1</v>
      </c>
      <c r="E367" s="2" t="str">
        <f t="shared" si="5"/>
        <v>Nuetral/Negative</v>
      </c>
    </row>
    <row r="368" spans="1:5" x14ac:dyDescent="0.3">
      <c r="A368" s="2" t="s">
        <v>1114</v>
      </c>
      <c r="B368" s="2" t="s">
        <v>314</v>
      </c>
      <c r="C368" s="2" t="s">
        <v>314</v>
      </c>
      <c r="D368" s="2" cm="1">
        <f t="array" ref="D368">IF(C368="Excellent",4,IF(C368="Good",3,IF(C368="Average",2,IF(C368="Poor",1,Unknown))))</f>
        <v>1</v>
      </c>
      <c r="E368" s="2" t="str">
        <f t="shared" si="5"/>
        <v>Nuetral/Negative</v>
      </c>
    </row>
    <row r="369" spans="1:5" x14ac:dyDescent="0.3">
      <c r="A369" s="2" t="s">
        <v>208</v>
      </c>
      <c r="B369" s="2" t="s">
        <v>314</v>
      </c>
      <c r="C369" s="2" t="s">
        <v>314</v>
      </c>
      <c r="D369" s="2" cm="1">
        <f t="array" ref="D369">IF(C369="Excellent",4,IF(C369="Good",3,IF(C369="Average",2,IF(C369="Poor",1,Unknown))))</f>
        <v>1</v>
      </c>
      <c r="E369" s="2" t="str">
        <f t="shared" si="5"/>
        <v>Nuetral/Negative</v>
      </c>
    </row>
    <row r="370" spans="1:5" x14ac:dyDescent="0.3">
      <c r="A370" s="2" t="s">
        <v>676</v>
      </c>
      <c r="B370" s="2" t="s">
        <v>314</v>
      </c>
      <c r="C370" s="2" t="s">
        <v>314</v>
      </c>
      <c r="D370" s="2" cm="1">
        <f t="array" ref="D370">IF(C370="Excellent",4,IF(C370="Good",3,IF(C370="Average",2,IF(C370="Poor",1,Unknown))))</f>
        <v>1</v>
      </c>
      <c r="E370" s="2" t="str">
        <f t="shared" si="5"/>
        <v>Nuetral/Negative</v>
      </c>
    </row>
    <row r="371" spans="1:5" x14ac:dyDescent="0.3">
      <c r="A371" s="2" t="s">
        <v>210</v>
      </c>
      <c r="B371" s="2" t="s">
        <v>314</v>
      </c>
      <c r="C371" s="2" t="s">
        <v>314</v>
      </c>
      <c r="D371" s="2" cm="1">
        <f t="array" ref="D371">IF(C371="Excellent",4,IF(C371="Good",3,IF(C371="Average",2,IF(C371="Poor",1,Unknown))))</f>
        <v>1</v>
      </c>
      <c r="E371" s="2" t="str">
        <f t="shared" si="5"/>
        <v>Nuetral/Negative</v>
      </c>
    </row>
    <row r="372" spans="1:5" x14ac:dyDescent="0.3">
      <c r="A372" s="2" t="s">
        <v>718</v>
      </c>
      <c r="B372" s="2" t="s">
        <v>314</v>
      </c>
      <c r="C372" s="2" t="s">
        <v>314</v>
      </c>
      <c r="D372" s="2" cm="1">
        <f t="array" ref="D372">IF(C372="Excellent",4,IF(C372="Good",3,IF(C372="Average",2,IF(C372="Poor",1,Unknown))))</f>
        <v>1</v>
      </c>
      <c r="E372" s="2" t="str">
        <f t="shared" si="5"/>
        <v>Nuetral/Negative</v>
      </c>
    </row>
    <row r="373" spans="1:5" x14ac:dyDescent="0.3">
      <c r="A373" s="2" t="s">
        <v>798</v>
      </c>
      <c r="B373" s="2" t="s">
        <v>314</v>
      </c>
      <c r="C373" s="2" t="s">
        <v>314</v>
      </c>
      <c r="D373" s="2" cm="1">
        <f t="array" ref="D373">IF(C373="Excellent",4,IF(C373="Good",3,IF(C373="Average",2,IF(C373="Poor",1,Unknown))))</f>
        <v>1</v>
      </c>
      <c r="E373" s="2" t="str">
        <f t="shared" si="5"/>
        <v>Nuetral/Negative</v>
      </c>
    </row>
    <row r="374" spans="1:5" x14ac:dyDescent="0.3">
      <c r="A374" s="2" t="s">
        <v>794</v>
      </c>
      <c r="B374" s="2" t="s">
        <v>314</v>
      </c>
      <c r="C374" s="2" t="s">
        <v>314</v>
      </c>
      <c r="D374" s="2" cm="1">
        <f t="array" ref="D374">IF(C374="Excellent",4,IF(C374="Good",3,IF(C374="Average",2,IF(C374="Poor",1,Unknown))))</f>
        <v>1</v>
      </c>
      <c r="E374" s="2" t="str">
        <f t="shared" si="5"/>
        <v>Nuetral/Negative</v>
      </c>
    </row>
    <row r="375" spans="1:5" x14ac:dyDescent="0.3">
      <c r="A375" s="2" t="s">
        <v>725</v>
      </c>
      <c r="B375" s="2" t="s">
        <v>314</v>
      </c>
      <c r="C375" s="2" t="s">
        <v>314</v>
      </c>
      <c r="D375" s="2" cm="1">
        <f t="array" ref="D375">IF(C375="Excellent",4,IF(C375="Good",3,IF(C375="Average",2,IF(C375="Poor",1,Unknown))))</f>
        <v>1</v>
      </c>
      <c r="E375" s="2" t="str">
        <f t="shared" si="5"/>
        <v>Nuetral/Negative</v>
      </c>
    </row>
    <row r="376" spans="1:5" x14ac:dyDescent="0.3">
      <c r="A376" s="2" t="s">
        <v>203</v>
      </c>
      <c r="B376" s="2" t="s">
        <v>314</v>
      </c>
      <c r="C376" s="2" t="s">
        <v>314</v>
      </c>
      <c r="D376" s="2" cm="1">
        <f t="array" ref="D376">IF(C376="Excellent",4,IF(C376="Good",3,IF(C376="Average",2,IF(C376="Poor",1,Unknown))))</f>
        <v>1</v>
      </c>
      <c r="E376" s="2" t="str">
        <f t="shared" si="5"/>
        <v>Nuetral/Negative</v>
      </c>
    </row>
    <row r="377" spans="1:5" x14ac:dyDescent="0.3">
      <c r="A377" s="2" t="s">
        <v>691</v>
      </c>
      <c r="B377" s="2" t="s">
        <v>314</v>
      </c>
      <c r="C377" s="2" t="s">
        <v>314</v>
      </c>
      <c r="D377" s="2" cm="1">
        <f t="array" ref="D377">IF(C377="Excellent",4,IF(C377="Good",3,IF(C377="Average",2,IF(C377="Poor",1,Unknown))))</f>
        <v>1</v>
      </c>
      <c r="E377" s="2" t="str">
        <f t="shared" si="5"/>
        <v>Nuetral/Negative</v>
      </c>
    </row>
    <row r="378" spans="1:5" x14ac:dyDescent="0.3">
      <c r="A378" s="2" t="s">
        <v>699</v>
      </c>
      <c r="B378" s="2" t="s">
        <v>314</v>
      </c>
      <c r="C378" s="2" t="s">
        <v>314</v>
      </c>
      <c r="D378" s="2" cm="1">
        <f t="array" ref="D378">IF(C378="Excellent",4,IF(C378="Good",3,IF(C378="Average",2,IF(C378="Poor",1,Unknown))))</f>
        <v>1</v>
      </c>
      <c r="E378" s="2" t="str">
        <f t="shared" si="5"/>
        <v>Nuetral/Negative</v>
      </c>
    </row>
    <row r="379" spans="1:5" x14ac:dyDescent="0.3">
      <c r="A379" s="2" t="s">
        <v>949</v>
      </c>
      <c r="B379" s="2" t="s">
        <v>314</v>
      </c>
      <c r="C379" s="2" t="s">
        <v>314</v>
      </c>
      <c r="D379" s="2" cm="1">
        <f t="array" ref="D379">IF(C379="Excellent",4,IF(C379="Good",3,IF(C379="Average",2,IF(C379="Poor",1,Unknown))))</f>
        <v>1</v>
      </c>
      <c r="E379" s="2" t="str">
        <f t="shared" si="5"/>
        <v>Nuetral/Negative</v>
      </c>
    </row>
    <row r="380" spans="1:5" x14ac:dyDescent="0.3">
      <c r="A380" s="2" t="s">
        <v>727</v>
      </c>
      <c r="B380" s="2" t="s">
        <v>314</v>
      </c>
      <c r="C380" s="2" t="s">
        <v>314</v>
      </c>
      <c r="D380" s="2" cm="1">
        <f t="array" ref="D380">IF(C380="Excellent",4,IF(C380="Good",3,IF(C380="Average",2,IF(C380="Poor",1,Unknown))))</f>
        <v>1</v>
      </c>
      <c r="E380" s="2" t="str">
        <f t="shared" si="5"/>
        <v>Nuetral/Negative</v>
      </c>
    </row>
    <row r="381" spans="1:5" x14ac:dyDescent="0.3">
      <c r="A381" s="2" t="s">
        <v>182</v>
      </c>
      <c r="B381" s="2" t="s">
        <v>314</v>
      </c>
      <c r="C381" s="2" t="s">
        <v>314</v>
      </c>
      <c r="D381" s="2" cm="1">
        <f t="array" ref="D381">IF(C381="Excellent",4,IF(C381="Good",3,IF(C381="Average",2,IF(C381="Poor",1,Unknown))))</f>
        <v>1</v>
      </c>
      <c r="E381" s="2" t="str">
        <f t="shared" si="5"/>
        <v>Nuetral/Negative</v>
      </c>
    </row>
    <row r="382" spans="1:5" x14ac:dyDescent="0.3">
      <c r="A382" s="2" t="s">
        <v>170</v>
      </c>
      <c r="B382" s="2" t="s">
        <v>314</v>
      </c>
      <c r="C382" s="2" t="s">
        <v>314</v>
      </c>
      <c r="D382" s="2" cm="1">
        <f t="array" ref="D382">IF(C382="Excellent",4,IF(C382="Good",3,IF(C382="Average",2,IF(C382="Poor",1,Unknown))))</f>
        <v>1</v>
      </c>
      <c r="E382" s="2" t="str">
        <f t="shared" si="5"/>
        <v>Nuetral/Negative</v>
      </c>
    </row>
    <row r="383" spans="1:5" x14ac:dyDescent="0.3">
      <c r="A383" s="2" t="s">
        <v>841</v>
      </c>
      <c r="B383" s="2" t="s">
        <v>314</v>
      </c>
      <c r="C383" s="2" t="s">
        <v>314</v>
      </c>
      <c r="D383" s="2" cm="1">
        <f t="array" ref="D383">IF(C383="Excellent",4,IF(C383="Good",3,IF(C383="Average",2,IF(C383="Poor",1,Unknown))))</f>
        <v>1</v>
      </c>
      <c r="E383" s="2" t="str">
        <f t="shared" si="5"/>
        <v>Nuetral/Negative</v>
      </c>
    </row>
    <row r="384" spans="1:5" x14ac:dyDescent="0.3">
      <c r="A384" s="2" t="s">
        <v>785</v>
      </c>
      <c r="B384" s="2" t="s">
        <v>314</v>
      </c>
      <c r="C384" s="2" t="s">
        <v>314</v>
      </c>
      <c r="D384" s="2" cm="1">
        <f t="array" ref="D384">IF(C384="Excellent",4,IF(C384="Good",3,IF(C384="Average",2,IF(C384="Poor",1,Unknown))))</f>
        <v>1</v>
      </c>
      <c r="E384" s="2" t="str">
        <f t="shared" si="5"/>
        <v>Nuetral/Negative</v>
      </c>
    </row>
    <row r="385" spans="1:5" x14ac:dyDescent="0.3">
      <c r="A385" s="2" t="s">
        <v>702</v>
      </c>
      <c r="B385" s="2" t="s">
        <v>314</v>
      </c>
      <c r="C385" s="2" t="s">
        <v>314</v>
      </c>
      <c r="D385" s="2" cm="1">
        <f t="array" ref="D385">IF(C385="Excellent",4,IF(C385="Good",3,IF(C385="Average",2,IF(C385="Poor",1,Unknown))))</f>
        <v>1</v>
      </c>
      <c r="E385" s="2" t="str">
        <f t="shared" si="5"/>
        <v>Nuetral/Negative</v>
      </c>
    </row>
    <row r="386" spans="1:5" x14ac:dyDescent="0.3">
      <c r="A386" s="2" t="s">
        <v>662</v>
      </c>
      <c r="B386" s="2" t="s">
        <v>314</v>
      </c>
      <c r="C386" s="2" t="s">
        <v>314</v>
      </c>
      <c r="D386" s="2" cm="1">
        <f t="array" ref="D386">IF(C386="Excellent",4,IF(C386="Good",3,IF(C386="Average",2,IF(C386="Poor",1,Unknown))))</f>
        <v>1</v>
      </c>
      <c r="E386" s="2" t="str">
        <f t="shared" si="5"/>
        <v>Nuetral/Negative</v>
      </c>
    </row>
    <row r="387" spans="1:5" x14ac:dyDescent="0.3">
      <c r="A387" s="2" t="s">
        <v>934</v>
      </c>
      <c r="B387" s="2" t="s">
        <v>314</v>
      </c>
      <c r="C387" s="2" t="s">
        <v>314</v>
      </c>
      <c r="D387" s="2" cm="1">
        <f t="array" ref="D387">IF(C387="Excellent",4,IF(C387="Good",3,IF(C387="Average",2,IF(C387="Poor",1,Unknown))))</f>
        <v>1</v>
      </c>
      <c r="E387" s="2" t="str">
        <f t="shared" ref="E387:E401" si="6">IF(OR(C387="Average",C387="Poor"),"Nuetral/Negative","Positive")</f>
        <v>Nuetral/Negative</v>
      </c>
    </row>
    <row r="388" spans="1:5" x14ac:dyDescent="0.3">
      <c r="A388" s="2" t="s">
        <v>946</v>
      </c>
      <c r="B388" s="2" t="s">
        <v>314</v>
      </c>
      <c r="C388" s="2" t="s">
        <v>314</v>
      </c>
      <c r="D388" s="2" cm="1">
        <f t="array" ref="D388">IF(C388="Excellent",4,IF(C388="Good",3,IF(C388="Average",2,IF(C388="Poor",1,Unknown))))</f>
        <v>1</v>
      </c>
      <c r="E388" s="2" t="str">
        <f t="shared" si="6"/>
        <v>Nuetral/Negative</v>
      </c>
    </row>
    <row r="389" spans="1:5" x14ac:dyDescent="0.3">
      <c r="A389" s="2" t="s">
        <v>944</v>
      </c>
      <c r="B389" s="2" t="s">
        <v>314</v>
      </c>
      <c r="C389" s="2" t="s">
        <v>314</v>
      </c>
      <c r="D389" s="2" cm="1">
        <f t="array" ref="D389">IF(C389="Excellent",4,IF(C389="Good",3,IF(C389="Average",2,IF(C389="Poor",1,Unknown))))</f>
        <v>1</v>
      </c>
      <c r="E389" s="2" t="str">
        <f t="shared" si="6"/>
        <v>Nuetral/Negative</v>
      </c>
    </row>
    <row r="390" spans="1:5" x14ac:dyDescent="0.3">
      <c r="A390" s="2" t="s">
        <v>733</v>
      </c>
      <c r="B390" s="2" t="s">
        <v>314</v>
      </c>
      <c r="C390" s="2" t="s">
        <v>314</v>
      </c>
      <c r="D390" s="2" cm="1">
        <f t="array" ref="D390">IF(C390="Excellent",4,IF(C390="Good",3,IF(C390="Average",2,IF(C390="Poor",1,Unknown))))</f>
        <v>1</v>
      </c>
      <c r="E390" s="2" t="str">
        <f t="shared" si="6"/>
        <v>Nuetral/Negative</v>
      </c>
    </row>
    <row r="391" spans="1:5" x14ac:dyDescent="0.3">
      <c r="A391" s="2" t="s">
        <v>950</v>
      </c>
      <c r="B391" s="2" t="s">
        <v>314</v>
      </c>
      <c r="C391" s="2" t="s">
        <v>314</v>
      </c>
      <c r="D391" s="2" cm="1">
        <f t="array" ref="D391">IF(C391="Excellent",4,IF(C391="Good",3,IF(C391="Average",2,IF(C391="Poor",1,Unknown))))</f>
        <v>1</v>
      </c>
      <c r="E391" s="2" t="str">
        <f t="shared" si="6"/>
        <v>Nuetral/Negative</v>
      </c>
    </row>
    <row r="392" spans="1:5" x14ac:dyDescent="0.3">
      <c r="A392" s="2" t="s">
        <v>158</v>
      </c>
      <c r="B392" s="2" t="s">
        <v>314</v>
      </c>
      <c r="C392" s="2" t="s">
        <v>314</v>
      </c>
      <c r="D392" s="2" cm="1">
        <f t="array" ref="D392">IF(C392="Excellent",4,IF(C392="Good",3,IF(C392="Average",2,IF(C392="Poor",1,Unknown))))</f>
        <v>1</v>
      </c>
      <c r="E392" s="2" t="str">
        <f t="shared" si="6"/>
        <v>Nuetral/Negative</v>
      </c>
    </row>
    <row r="393" spans="1:5" x14ac:dyDescent="0.3">
      <c r="A393" s="2" t="s">
        <v>834</v>
      </c>
      <c r="B393" s="2" t="s">
        <v>314</v>
      </c>
      <c r="C393" s="2" t="s">
        <v>314</v>
      </c>
      <c r="D393" s="2" cm="1">
        <f t="array" ref="D393">IF(C393="Excellent",4,IF(C393="Good",3,IF(C393="Average",2,IF(C393="Poor",1,Unknown))))</f>
        <v>1</v>
      </c>
      <c r="E393" s="2" t="str">
        <f t="shared" si="6"/>
        <v>Nuetral/Negative</v>
      </c>
    </row>
    <row r="394" spans="1:5" x14ac:dyDescent="0.3">
      <c r="A394" s="2" t="s">
        <v>148</v>
      </c>
      <c r="B394" s="2" t="s">
        <v>314</v>
      </c>
      <c r="C394" s="2" t="s">
        <v>314</v>
      </c>
      <c r="D394" s="2" cm="1">
        <f t="array" ref="D394">IF(C394="Excellent",4,IF(C394="Good",3,IF(C394="Average",2,IF(C394="Poor",1,Unknown))))</f>
        <v>1</v>
      </c>
      <c r="E394" s="2" t="str">
        <f t="shared" si="6"/>
        <v>Nuetral/Negative</v>
      </c>
    </row>
    <row r="395" spans="1:5" x14ac:dyDescent="0.3">
      <c r="A395" s="2" t="s">
        <v>948</v>
      </c>
      <c r="B395" s="2" t="s">
        <v>314</v>
      </c>
      <c r="C395" s="2" t="s">
        <v>314</v>
      </c>
      <c r="D395" s="2" cm="1">
        <f t="array" ref="D395">IF(C395="Excellent",4,IF(C395="Good",3,IF(C395="Average",2,IF(C395="Poor",1,Unknown))))</f>
        <v>1</v>
      </c>
      <c r="E395" s="2" t="str">
        <f t="shared" si="6"/>
        <v>Nuetral/Negative</v>
      </c>
    </row>
    <row r="396" spans="1:5" x14ac:dyDescent="0.3">
      <c r="A396" s="2" t="s">
        <v>205</v>
      </c>
      <c r="B396" s="2" t="s">
        <v>314</v>
      </c>
      <c r="C396" s="2" t="s">
        <v>314</v>
      </c>
      <c r="D396" s="2" cm="1">
        <f t="array" ref="D396">IF(C396="Excellent",4,IF(C396="Good",3,IF(C396="Average",2,IF(C396="Poor",1,Unknown))))</f>
        <v>1</v>
      </c>
      <c r="E396" s="2" t="str">
        <f t="shared" si="6"/>
        <v>Nuetral/Negative</v>
      </c>
    </row>
    <row r="397" spans="1:5" x14ac:dyDescent="0.3">
      <c r="A397" s="2" t="s">
        <v>823</v>
      </c>
      <c r="B397" s="2" t="s">
        <v>314</v>
      </c>
      <c r="C397" s="2" t="s">
        <v>314</v>
      </c>
      <c r="D397" s="2" cm="1">
        <f t="array" ref="D397">IF(C397="Excellent",4,IF(C397="Good",3,IF(C397="Average",2,IF(C397="Poor",1,Unknown))))</f>
        <v>1</v>
      </c>
      <c r="E397" s="2" t="str">
        <f t="shared" si="6"/>
        <v>Nuetral/Negative</v>
      </c>
    </row>
    <row r="398" spans="1:5" x14ac:dyDescent="0.3">
      <c r="A398" s="2" t="s">
        <v>738</v>
      </c>
      <c r="B398" s="2" t="s">
        <v>314</v>
      </c>
      <c r="C398" s="2" t="s">
        <v>314</v>
      </c>
      <c r="D398" s="2" cm="1">
        <f t="array" ref="D398">IF(C398="Excellent",4,IF(C398="Good",3,IF(C398="Average",2,IF(C398="Poor",1,Unknown))))</f>
        <v>1</v>
      </c>
      <c r="E398" s="2" t="str">
        <f t="shared" si="6"/>
        <v>Nuetral/Negative</v>
      </c>
    </row>
    <row r="399" spans="1:5" x14ac:dyDescent="0.3">
      <c r="A399" s="2" t="s">
        <v>912</v>
      </c>
      <c r="B399" s="2" t="s">
        <v>314</v>
      </c>
      <c r="C399" s="2" t="s">
        <v>314</v>
      </c>
      <c r="D399" s="2" cm="1">
        <f t="array" ref="D399">IF(C399="Excellent",4,IF(C399="Good",3,IF(C399="Average",2,IF(C399="Poor",1,Unknown))))</f>
        <v>1</v>
      </c>
      <c r="E399" s="2" t="str">
        <f t="shared" si="6"/>
        <v>Nuetral/Negative</v>
      </c>
    </row>
    <row r="400" spans="1:5" x14ac:dyDescent="0.3">
      <c r="A400" s="2" t="s">
        <v>909</v>
      </c>
      <c r="B400" s="2" t="s">
        <v>314</v>
      </c>
      <c r="C400" s="2" t="s">
        <v>314</v>
      </c>
      <c r="D400" s="2" cm="1">
        <f t="array" ref="D400">IF(C400="Excellent",4,IF(C400="Good",3,IF(C400="Average",2,IF(C400="Poor",1,Unknown))))</f>
        <v>1</v>
      </c>
      <c r="E400" s="2" t="str">
        <f t="shared" si="6"/>
        <v>Nuetral/Negative</v>
      </c>
    </row>
    <row r="401" spans="1:5" x14ac:dyDescent="0.3">
      <c r="A401" s="2" t="s">
        <v>882</v>
      </c>
      <c r="B401" s="2" t="s">
        <v>314</v>
      </c>
      <c r="C401" s="2" t="s">
        <v>314</v>
      </c>
      <c r="D401" s="2" cm="1">
        <f t="array" ref="D401">IF(C401="Excellent",4,IF(C401="Good",3,IF(C401="Average",2,IF(C401="Poor",1,Unknown))))</f>
        <v>1</v>
      </c>
      <c r="E401" s="2" t="str">
        <f t="shared" si="6"/>
        <v>Nuetral/Negative</v>
      </c>
    </row>
  </sheetData>
  <autoFilter ref="B1:D1" xr:uid="{05C6FBE4-0528-42F4-95F4-1DE0ED8E67DE}">
    <sortState xmlns:xlrd2="http://schemas.microsoft.com/office/spreadsheetml/2017/richdata2" ref="B2:D401">
      <sortCondition ref="B1"/>
    </sortState>
  </autoFilter>
  <conditionalFormatting sqref="A1:A1048576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92FD-B779-4A31-A4D6-0F31E2575588}">
  <dimension ref="A1:B401"/>
  <sheetViews>
    <sheetView workbookViewId="0">
      <selection activeCell="C1" sqref="C1"/>
    </sheetView>
  </sheetViews>
  <sheetFormatPr defaultRowHeight="14.4" x14ac:dyDescent="0.3"/>
  <cols>
    <col min="1" max="1" width="34" customWidth="1"/>
    <col min="2" max="2" width="22" customWidth="1"/>
  </cols>
  <sheetData>
    <row r="1" spans="1:2" x14ac:dyDescent="0.3">
      <c r="A1" s="13" t="s">
        <v>1136</v>
      </c>
      <c r="B1" s="10" t="s">
        <v>1137</v>
      </c>
    </row>
    <row r="2" spans="1:2" x14ac:dyDescent="0.3">
      <c r="A2" s="2" t="s">
        <v>1102</v>
      </c>
      <c r="B2" s="2" t="s">
        <v>1105</v>
      </c>
    </row>
    <row r="3" spans="1:2" x14ac:dyDescent="0.3">
      <c r="A3" s="2" t="s">
        <v>1103</v>
      </c>
      <c r="B3" s="2" t="s">
        <v>1105</v>
      </c>
    </row>
    <row r="4" spans="1:2" x14ac:dyDescent="0.3">
      <c r="A4" s="2" t="s">
        <v>1101</v>
      </c>
      <c r="B4" s="2" t="s">
        <v>1105</v>
      </c>
    </row>
    <row r="5" spans="1:2" x14ac:dyDescent="0.3">
      <c r="A5" s="2" t="s">
        <v>1099</v>
      </c>
      <c r="B5" s="2" t="s">
        <v>1105</v>
      </c>
    </row>
    <row r="6" spans="1:2" x14ac:dyDescent="0.3">
      <c r="A6" s="2" t="s">
        <v>1101</v>
      </c>
      <c r="B6" s="2" t="s">
        <v>1105</v>
      </c>
    </row>
    <row r="7" spans="1:2" x14ac:dyDescent="0.3">
      <c r="A7" s="2" t="s">
        <v>1101</v>
      </c>
      <c r="B7" s="2" t="s">
        <v>1105</v>
      </c>
    </row>
    <row r="8" spans="1:2" x14ac:dyDescent="0.3">
      <c r="A8" s="2" t="s">
        <v>1100</v>
      </c>
      <c r="B8" s="2" t="s">
        <v>1105</v>
      </c>
    </row>
    <row r="9" spans="1:2" x14ac:dyDescent="0.3">
      <c r="A9" s="2" t="s">
        <v>1100</v>
      </c>
      <c r="B9" s="2" t="s">
        <v>1105</v>
      </c>
    </row>
    <row r="10" spans="1:2" x14ac:dyDescent="0.3">
      <c r="A10" s="2" t="s">
        <v>1102</v>
      </c>
      <c r="B10" s="2" t="s">
        <v>1105</v>
      </c>
    </row>
    <row r="11" spans="1:2" x14ac:dyDescent="0.3">
      <c r="A11" s="2" t="s">
        <v>1097</v>
      </c>
      <c r="B11" s="2" t="s">
        <v>1105</v>
      </c>
    </row>
    <row r="12" spans="1:2" x14ac:dyDescent="0.3">
      <c r="A12" s="2" t="s">
        <v>1102</v>
      </c>
      <c r="B12" s="2" t="s">
        <v>1105</v>
      </c>
    </row>
    <row r="13" spans="1:2" x14ac:dyDescent="0.3">
      <c r="A13" s="2" t="s">
        <v>1097</v>
      </c>
      <c r="B13" s="2" t="s">
        <v>1105</v>
      </c>
    </row>
    <row r="14" spans="1:2" x14ac:dyDescent="0.3">
      <c r="A14" s="2" t="s">
        <v>1104</v>
      </c>
      <c r="B14" s="2" t="s">
        <v>1105</v>
      </c>
    </row>
    <row r="15" spans="1:2" x14ac:dyDescent="0.3">
      <c r="A15" s="2" t="s">
        <v>1099</v>
      </c>
      <c r="B15" s="2" t="s">
        <v>1105</v>
      </c>
    </row>
    <row r="16" spans="1:2" x14ac:dyDescent="0.3">
      <c r="A16" s="2" t="s">
        <v>1103</v>
      </c>
      <c r="B16" s="2" t="s">
        <v>1105</v>
      </c>
    </row>
    <row r="17" spans="1:2" x14ac:dyDescent="0.3">
      <c r="A17" s="2" t="s">
        <v>1102</v>
      </c>
      <c r="B17" s="2" t="s">
        <v>1105</v>
      </c>
    </row>
    <row r="18" spans="1:2" x14ac:dyDescent="0.3">
      <c r="A18" s="2" t="s">
        <v>1103</v>
      </c>
      <c r="B18" s="2" t="s">
        <v>1105</v>
      </c>
    </row>
    <row r="19" spans="1:2" x14ac:dyDescent="0.3">
      <c r="A19" s="2" t="s">
        <v>1101</v>
      </c>
      <c r="B19" s="2" t="s">
        <v>1105</v>
      </c>
    </row>
    <row r="20" spans="1:2" x14ac:dyDescent="0.3">
      <c r="A20" s="2" t="s">
        <v>1100</v>
      </c>
      <c r="B20" s="2" t="s">
        <v>1105</v>
      </c>
    </row>
    <row r="21" spans="1:2" x14ac:dyDescent="0.3">
      <c r="A21" s="2" t="s">
        <v>1101</v>
      </c>
      <c r="B21" s="2" t="s">
        <v>1105</v>
      </c>
    </row>
    <row r="22" spans="1:2" x14ac:dyDescent="0.3">
      <c r="A22" s="2" t="s">
        <v>1101</v>
      </c>
      <c r="B22" s="2" t="s">
        <v>1105</v>
      </c>
    </row>
    <row r="23" spans="1:2" x14ac:dyDescent="0.3">
      <c r="A23" s="2" t="s">
        <v>1100</v>
      </c>
      <c r="B23" s="2" t="s">
        <v>1105</v>
      </c>
    </row>
    <row r="24" spans="1:2" x14ac:dyDescent="0.3">
      <c r="A24" s="2" t="s">
        <v>1096</v>
      </c>
      <c r="B24" s="2" t="s">
        <v>1105</v>
      </c>
    </row>
    <row r="25" spans="1:2" x14ac:dyDescent="0.3">
      <c r="A25" s="2" t="s">
        <v>1103</v>
      </c>
      <c r="B25" s="2" t="s">
        <v>1105</v>
      </c>
    </row>
    <row r="26" spans="1:2" x14ac:dyDescent="0.3">
      <c r="A26" s="2" t="s">
        <v>1098</v>
      </c>
      <c r="B26" s="2" t="s">
        <v>1105</v>
      </c>
    </row>
    <row r="27" spans="1:2" x14ac:dyDescent="0.3">
      <c r="A27" s="2" t="s">
        <v>1098</v>
      </c>
      <c r="B27" s="2" t="s">
        <v>1105</v>
      </c>
    </row>
    <row r="28" spans="1:2" x14ac:dyDescent="0.3">
      <c r="A28" s="2" t="s">
        <v>1101</v>
      </c>
      <c r="B28" s="2" t="s">
        <v>1105</v>
      </c>
    </row>
    <row r="29" spans="1:2" x14ac:dyDescent="0.3">
      <c r="A29" s="2" t="s">
        <v>1098</v>
      </c>
      <c r="B29" s="2" t="s">
        <v>1105</v>
      </c>
    </row>
    <row r="30" spans="1:2" x14ac:dyDescent="0.3">
      <c r="A30" s="2" t="s">
        <v>1103</v>
      </c>
      <c r="B30" s="2" t="s">
        <v>1105</v>
      </c>
    </row>
    <row r="31" spans="1:2" x14ac:dyDescent="0.3">
      <c r="A31" s="2" t="s">
        <v>1102</v>
      </c>
      <c r="B31" s="2" t="s">
        <v>1105</v>
      </c>
    </row>
    <row r="32" spans="1:2" x14ac:dyDescent="0.3">
      <c r="A32" s="2" t="s">
        <v>1096</v>
      </c>
      <c r="B32" s="2" t="s">
        <v>1105</v>
      </c>
    </row>
    <row r="33" spans="1:2" x14ac:dyDescent="0.3">
      <c r="A33" s="2" t="s">
        <v>1101</v>
      </c>
      <c r="B33" s="2" t="s">
        <v>1105</v>
      </c>
    </row>
    <row r="34" spans="1:2" x14ac:dyDescent="0.3">
      <c r="A34" s="2" t="s">
        <v>1096</v>
      </c>
      <c r="B34" s="2" t="s">
        <v>1105</v>
      </c>
    </row>
    <row r="35" spans="1:2" x14ac:dyDescent="0.3">
      <c r="A35" s="2" t="s">
        <v>1097</v>
      </c>
      <c r="B35" s="2" t="s">
        <v>1105</v>
      </c>
    </row>
    <row r="36" spans="1:2" x14ac:dyDescent="0.3">
      <c r="A36" s="2" t="s">
        <v>1103</v>
      </c>
      <c r="B36" s="2" t="s">
        <v>1105</v>
      </c>
    </row>
    <row r="37" spans="1:2" x14ac:dyDescent="0.3">
      <c r="A37" s="2" t="s">
        <v>1102</v>
      </c>
      <c r="B37" s="2" t="s">
        <v>1105</v>
      </c>
    </row>
    <row r="38" spans="1:2" x14ac:dyDescent="0.3">
      <c r="A38" s="2" t="s">
        <v>1097</v>
      </c>
      <c r="B38" s="2" t="s">
        <v>1105</v>
      </c>
    </row>
    <row r="39" spans="1:2" x14ac:dyDescent="0.3">
      <c r="A39" s="2" t="s">
        <v>1102</v>
      </c>
      <c r="B39" s="2" t="s">
        <v>1105</v>
      </c>
    </row>
    <row r="40" spans="1:2" x14ac:dyDescent="0.3">
      <c r="A40" s="2" t="s">
        <v>1101</v>
      </c>
      <c r="B40" s="2" t="s">
        <v>1105</v>
      </c>
    </row>
    <row r="41" spans="1:2" x14ac:dyDescent="0.3">
      <c r="A41" s="2" t="s">
        <v>1103</v>
      </c>
      <c r="B41" s="2" t="s">
        <v>1105</v>
      </c>
    </row>
    <row r="42" spans="1:2" x14ac:dyDescent="0.3">
      <c r="A42" s="2" t="s">
        <v>1100</v>
      </c>
      <c r="B42" s="2" t="s">
        <v>1105</v>
      </c>
    </row>
    <row r="43" spans="1:2" x14ac:dyDescent="0.3">
      <c r="A43" s="2" t="s">
        <v>1104</v>
      </c>
      <c r="B43" s="2" t="s">
        <v>1105</v>
      </c>
    </row>
    <row r="44" spans="1:2" x14ac:dyDescent="0.3">
      <c r="A44" s="2" t="s">
        <v>1104</v>
      </c>
      <c r="B44" s="2" t="s">
        <v>1105</v>
      </c>
    </row>
    <row r="45" spans="1:2" x14ac:dyDescent="0.3">
      <c r="A45" s="2" t="s">
        <v>1102</v>
      </c>
      <c r="B45" s="2" t="s">
        <v>1105</v>
      </c>
    </row>
    <row r="46" spans="1:2" x14ac:dyDescent="0.3">
      <c r="A46" s="2" t="s">
        <v>1101</v>
      </c>
      <c r="B46" s="2" t="s">
        <v>1105</v>
      </c>
    </row>
    <row r="47" spans="1:2" x14ac:dyDescent="0.3">
      <c r="A47" s="2" t="s">
        <v>1102</v>
      </c>
      <c r="B47" s="2" t="s">
        <v>1105</v>
      </c>
    </row>
    <row r="48" spans="1:2" x14ac:dyDescent="0.3">
      <c r="A48" s="2" t="s">
        <v>1097</v>
      </c>
      <c r="B48" s="2" t="s">
        <v>1105</v>
      </c>
    </row>
    <row r="49" spans="1:2" x14ac:dyDescent="0.3">
      <c r="A49" s="2" t="s">
        <v>1099</v>
      </c>
      <c r="B49" s="2" t="s">
        <v>1105</v>
      </c>
    </row>
    <row r="50" spans="1:2" x14ac:dyDescent="0.3">
      <c r="A50" s="2" t="s">
        <v>1098</v>
      </c>
      <c r="B50" s="2" t="s">
        <v>1105</v>
      </c>
    </row>
    <row r="51" spans="1:2" x14ac:dyDescent="0.3">
      <c r="A51" s="2" t="s">
        <v>1100</v>
      </c>
      <c r="B51" s="2" t="s">
        <v>1105</v>
      </c>
    </row>
    <row r="52" spans="1:2" x14ac:dyDescent="0.3">
      <c r="A52" s="2" t="s">
        <v>1102</v>
      </c>
      <c r="B52" s="2" t="s">
        <v>1105</v>
      </c>
    </row>
    <row r="53" spans="1:2" x14ac:dyDescent="0.3">
      <c r="A53" s="2" t="s">
        <v>1103</v>
      </c>
      <c r="B53" s="2" t="s">
        <v>1105</v>
      </c>
    </row>
    <row r="54" spans="1:2" x14ac:dyDescent="0.3">
      <c r="A54" s="2" t="s">
        <v>1101</v>
      </c>
      <c r="B54" s="2" t="s">
        <v>1105</v>
      </c>
    </row>
    <row r="55" spans="1:2" x14ac:dyDescent="0.3">
      <c r="A55" s="2" t="s">
        <v>1099</v>
      </c>
      <c r="B55" s="2" t="s">
        <v>1105</v>
      </c>
    </row>
    <row r="56" spans="1:2" x14ac:dyDescent="0.3">
      <c r="A56" s="2" t="s">
        <v>1101</v>
      </c>
      <c r="B56" s="2" t="s">
        <v>1105</v>
      </c>
    </row>
    <row r="57" spans="1:2" x14ac:dyDescent="0.3">
      <c r="A57" s="2" t="s">
        <v>1101</v>
      </c>
      <c r="B57" s="2" t="s">
        <v>1105</v>
      </c>
    </row>
    <row r="58" spans="1:2" x14ac:dyDescent="0.3">
      <c r="A58" s="2" t="s">
        <v>1100</v>
      </c>
      <c r="B58" s="2" t="s">
        <v>1105</v>
      </c>
    </row>
    <row r="59" spans="1:2" x14ac:dyDescent="0.3">
      <c r="A59" s="2" t="s">
        <v>1100</v>
      </c>
      <c r="B59" s="2" t="s">
        <v>1105</v>
      </c>
    </row>
    <row r="60" spans="1:2" x14ac:dyDescent="0.3">
      <c r="A60" s="2" t="s">
        <v>1102</v>
      </c>
      <c r="B60" s="2" t="s">
        <v>1105</v>
      </c>
    </row>
    <row r="61" spans="1:2" x14ac:dyDescent="0.3">
      <c r="A61" s="2" t="s">
        <v>1097</v>
      </c>
      <c r="B61" s="2" t="s">
        <v>1105</v>
      </c>
    </row>
    <row r="62" spans="1:2" x14ac:dyDescent="0.3">
      <c r="A62" s="2" t="s">
        <v>1102</v>
      </c>
      <c r="B62" s="2" t="s">
        <v>1105</v>
      </c>
    </row>
    <row r="63" spans="1:2" x14ac:dyDescent="0.3">
      <c r="A63" s="2" t="s">
        <v>1097</v>
      </c>
      <c r="B63" s="2" t="s">
        <v>1105</v>
      </c>
    </row>
    <row r="64" spans="1:2" x14ac:dyDescent="0.3">
      <c r="A64" s="2" t="s">
        <v>1104</v>
      </c>
      <c r="B64" s="2" t="s">
        <v>1105</v>
      </c>
    </row>
    <row r="65" spans="1:2" x14ac:dyDescent="0.3">
      <c r="A65" s="2" t="s">
        <v>1099</v>
      </c>
      <c r="B65" s="2" t="s">
        <v>1105</v>
      </c>
    </row>
    <row r="66" spans="1:2" x14ac:dyDescent="0.3">
      <c r="A66" s="2" t="s">
        <v>1103</v>
      </c>
      <c r="B66" s="2" t="s">
        <v>1105</v>
      </c>
    </row>
    <row r="67" spans="1:2" x14ac:dyDescent="0.3">
      <c r="A67" s="2" t="s">
        <v>1102</v>
      </c>
      <c r="B67" s="2" t="s">
        <v>1105</v>
      </c>
    </row>
    <row r="68" spans="1:2" x14ac:dyDescent="0.3">
      <c r="A68" s="2" t="s">
        <v>1103</v>
      </c>
      <c r="B68" s="2" t="s">
        <v>1105</v>
      </c>
    </row>
    <row r="69" spans="1:2" x14ac:dyDescent="0.3">
      <c r="A69" s="2" t="s">
        <v>1101</v>
      </c>
      <c r="B69" s="2" t="s">
        <v>1105</v>
      </c>
    </row>
    <row r="70" spans="1:2" x14ac:dyDescent="0.3">
      <c r="A70" s="2" t="s">
        <v>1100</v>
      </c>
      <c r="B70" s="2" t="s">
        <v>1105</v>
      </c>
    </row>
    <row r="71" spans="1:2" x14ac:dyDescent="0.3">
      <c r="A71" s="2" t="s">
        <v>1101</v>
      </c>
      <c r="B71" s="2" t="s">
        <v>1105</v>
      </c>
    </row>
    <row r="72" spans="1:2" x14ac:dyDescent="0.3">
      <c r="A72" s="2" t="s">
        <v>1101</v>
      </c>
      <c r="B72" s="2" t="s">
        <v>1105</v>
      </c>
    </row>
    <row r="73" spans="1:2" x14ac:dyDescent="0.3">
      <c r="A73" s="2" t="s">
        <v>1100</v>
      </c>
      <c r="B73" s="2" t="s">
        <v>1105</v>
      </c>
    </row>
    <row r="74" spans="1:2" x14ac:dyDescent="0.3">
      <c r="A74" s="2" t="s">
        <v>1096</v>
      </c>
      <c r="B74" s="2" t="s">
        <v>1105</v>
      </c>
    </row>
    <row r="75" spans="1:2" x14ac:dyDescent="0.3">
      <c r="A75" s="2" t="s">
        <v>1103</v>
      </c>
      <c r="B75" s="2" t="s">
        <v>1105</v>
      </c>
    </row>
    <row r="76" spans="1:2" x14ac:dyDescent="0.3">
      <c r="A76" s="2" t="s">
        <v>1098</v>
      </c>
      <c r="B76" s="2" t="s">
        <v>1105</v>
      </c>
    </row>
    <row r="77" spans="1:2" x14ac:dyDescent="0.3">
      <c r="A77" s="2" t="s">
        <v>1098</v>
      </c>
      <c r="B77" s="2" t="s">
        <v>1105</v>
      </c>
    </row>
    <row r="78" spans="1:2" x14ac:dyDescent="0.3">
      <c r="A78" s="2" t="s">
        <v>1101</v>
      </c>
      <c r="B78" s="2" t="s">
        <v>1105</v>
      </c>
    </row>
    <row r="79" spans="1:2" x14ac:dyDescent="0.3">
      <c r="A79" s="2" t="s">
        <v>1098</v>
      </c>
      <c r="B79" s="2" t="s">
        <v>1105</v>
      </c>
    </row>
    <row r="80" spans="1:2" x14ac:dyDescent="0.3">
      <c r="A80" s="2" t="s">
        <v>1103</v>
      </c>
      <c r="B80" s="2" t="s">
        <v>1105</v>
      </c>
    </row>
    <row r="81" spans="1:2" x14ac:dyDescent="0.3">
      <c r="A81" s="2" t="s">
        <v>1102</v>
      </c>
      <c r="B81" s="2" t="s">
        <v>1105</v>
      </c>
    </row>
    <row r="82" spans="1:2" x14ac:dyDescent="0.3">
      <c r="A82" s="2" t="s">
        <v>1096</v>
      </c>
      <c r="B82" s="2" t="s">
        <v>1105</v>
      </c>
    </row>
    <row r="83" spans="1:2" x14ac:dyDescent="0.3">
      <c r="A83" s="2" t="s">
        <v>1101</v>
      </c>
      <c r="B83" s="2" t="s">
        <v>1105</v>
      </c>
    </row>
    <row r="84" spans="1:2" x14ac:dyDescent="0.3">
      <c r="A84" s="2" t="s">
        <v>1096</v>
      </c>
      <c r="B84" s="2" t="s">
        <v>1105</v>
      </c>
    </row>
    <row r="85" spans="1:2" x14ac:dyDescent="0.3">
      <c r="A85" s="2" t="s">
        <v>1097</v>
      </c>
      <c r="B85" s="2" t="s">
        <v>1105</v>
      </c>
    </row>
    <row r="86" spans="1:2" x14ac:dyDescent="0.3">
      <c r="A86" s="2" t="s">
        <v>1103</v>
      </c>
      <c r="B86" s="2" t="s">
        <v>1105</v>
      </c>
    </row>
    <row r="87" spans="1:2" x14ac:dyDescent="0.3">
      <c r="A87" s="2" t="s">
        <v>1102</v>
      </c>
      <c r="B87" s="2" t="s">
        <v>1105</v>
      </c>
    </row>
    <row r="88" spans="1:2" x14ac:dyDescent="0.3">
      <c r="A88" s="2" t="s">
        <v>1097</v>
      </c>
      <c r="B88" s="2" t="s">
        <v>1105</v>
      </c>
    </row>
    <row r="89" spans="1:2" x14ac:dyDescent="0.3">
      <c r="A89" s="2" t="s">
        <v>1102</v>
      </c>
      <c r="B89" s="2" t="s">
        <v>1105</v>
      </c>
    </row>
    <row r="90" spans="1:2" x14ac:dyDescent="0.3">
      <c r="A90" s="2" t="s">
        <v>1101</v>
      </c>
      <c r="B90" s="2" t="s">
        <v>1105</v>
      </c>
    </row>
    <row r="91" spans="1:2" x14ac:dyDescent="0.3">
      <c r="A91" s="2" t="s">
        <v>1103</v>
      </c>
      <c r="B91" s="2" t="s">
        <v>1105</v>
      </c>
    </row>
    <row r="92" spans="1:2" x14ac:dyDescent="0.3">
      <c r="A92" s="2" t="s">
        <v>1100</v>
      </c>
      <c r="B92" s="2" t="s">
        <v>1105</v>
      </c>
    </row>
    <row r="93" spans="1:2" x14ac:dyDescent="0.3">
      <c r="A93" s="2" t="s">
        <v>1104</v>
      </c>
      <c r="B93" s="2" t="s">
        <v>1105</v>
      </c>
    </row>
    <row r="94" spans="1:2" x14ac:dyDescent="0.3">
      <c r="A94" s="2" t="s">
        <v>1104</v>
      </c>
      <c r="B94" s="2" t="s">
        <v>1105</v>
      </c>
    </row>
    <row r="95" spans="1:2" x14ac:dyDescent="0.3">
      <c r="A95" s="2" t="s">
        <v>1102</v>
      </c>
      <c r="B95" s="2" t="s">
        <v>1105</v>
      </c>
    </row>
    <row r="96" spans="1:2" x14ac:dyDescent="0.3">
      <c r="A96" s="2" t="s">
        <v>1101</v>
      </c>
      <c r="B96" s="2" t="s">
        <v>1105</v>
      </c>
    </row>
    <row r="97" spans="1:2" x14ac:dyDescent="0.3">
      <c r="A97" s="2" t="s">
        <v>1102</v>
      </c>
      <c r="B97" s="2" t="s">
        <v>1105</v>
      </c>
    </row>
    <row r="98" spans="1:2" x14ac:dyDescent="0.3">
      <c r="A98" s="2" t="s">
        <v>1097</v>
      </c>
      <c r="B98" s="2" t="s">
        <v>1105</v>
      </c>
    </row>
    <row r="99" spans="1:2" x14ac:dyDescent="0.3">
      <c r="A99" s="2" t="s">
        <v>1099</v>
      </c>
      <c r="B99" s="2" t="s">
        <v>1105</v>
      </c>
    </row>
    <row r="100" spans="1:2" x14ac:dyDescent="0.3">
      <c r="A100" s="2" t="s">
        <v>1098</v>
      </c>
      <c r="B100" s="2" t="s">
        <v>1105</v>
      </c>
    </row>
    <row r="101" spans="1:2" x14ac:dyDescent="0.3">
      <c r="A101" s="2" t="s">
        <v>1100</v>
      </c>
      <c r="B101" s="2" t="s">
        <v>1105</v>
      </c>
    </row>
    <row r="102" spans="1:2" x14ac:dyDescent="0.3">
      <c r="A102" s="2" t="s">
        <v>1096</v>
      </c>
      <c r="B102" s="2" t="s">
        <v>1105</v>
      </c>
    </row>
    <row r="103" spans="1:2" x14ac:dyDescent="0.3">
      <c r="A103" s="2" t="s">
        <v>1097</v>
      </c>
      <c r="B103" s="2" t="s">
        <v>1105</v>
      </c>
    </row>
    <row r="104" spans="1:2" x14ac:dyDescent="0.3">
      <c r="A104" s="2" t="s">
        <v>1098</v>
      </c>
      <c r="B104" s="2" t="s">
        <v>1105</v>
      </c>
    </row>
    <row r="105" spans="1:2" x14ac:dyDescent="0.3">
      <c r="A105" s="2" t="s">
        <v>1097</v>
      </c>
      <c r="B105" s="2" t="s">
        <v>1105</v>
      </c>
    </row>
    <row r="106" spans="1:2" x14ac:dyDescent="0.3">
      <c r="A106" s="2" t="s">
        <v>1097</v>
      </c>
      <c r="B106" s="2" t="s">
        <v>1105</v>
      </c>
    </row>
    <row r="107" spans="1:2" x14ac:dyDescent="0.3">
      <c r="A107" s="2" t="s">
        <v>1099</v>
      </c>
      <c r="B107" s="2" t="s">
        <v>1105</v>
      </c>
    </row>
    <row r="108" spans="1:2" x14ac:dyDescent="0.3">
      <c r="A108" s="2" t="s">
        <v>1100</v>
      </c>
      <c r="B108" s="2" t="s">
        <v>1105</v>
      </c>
    </row>
    <row r="109" spans="1:2" x14ac:dyDescent="0.3">
      <c r="A109" s="2" t="s">
        <v>1101</v>
      </c>
      <c r="B109" s="2" t="s">
        <v>1105</v>
      </c>
    </row>
    <row r="110" spans="1:2" x14ac:dyDescent="0.3">
      <c r="A110" s="2" t="s">
        <v>1096</v>
      </c>
      <c r="B110" s="2" t="s">
        <v>1105</v>
      </c>
    </row>
    <row r="111" spans="1:2" x14ac:dyDescent="0.3">
      <c r="A111" s="2" t="s">
        <v>1098</v>
      </c>
      <c r="B111" s="2" t="s">
        <v>1105</v>
      </c>
    </row>
    <row r="112" spans="1:2" x14ac:dyDescent="0.3">
      <c r="A112" s="2" t="s">
        <v>1096</v>
      </c>
      <c r="B112" s="2" t="s">
        <v>1105</v>
      </c>
    </row>
    <row r="113" spans="1:2" x14ac:dyDescent="0.3">
      <c r="A113" s="2" t="s">
        <v>1096</v>
      </c>
      <c r="B113" s="2" t="s">
        <v>1105</v>
      </c>
    </row>
    <row r="114" spans="1:2" x14ac:dyDescent="0.3">
      <c r="A114" s="2" t="s">
        <v>1101</v>
      </c>
      <c r="B114" s="2" t="s">
        <v>1105</v>
      </c>
    </row>
    <row r="115" spans="1:2" x14ac:dyDescent="0.3">
      <c r="A115" s="2" t="s">
        <v>1099</v>
      </c>
      <c r="B115" s="2" t="s">
        <v>1105</v>
      </c>
    </row>
    <row r="116" spans="1:2" x14ac:dyDescent="0.3">
      <c r="A116" s="2" t="s">
        <v>1098</v>
      </c>
      <c r="B116" s="2" t="s">
        <v>1105</v>
      </c>
    </row>
    <row r="117" spans="1:2" x14ac:dyDescent="0.3">
      <c r="A117" s="2" t="s">
        <v>1097</v>
      </c>
      <c r="B117" s="2" t="s">
        <v>1105</v>
      </c>
    </row>
    <row r="118" spans="1:2" x14ac:dyDescent="0.3">
      <c r="A118" s="2" t="s">
        <v>1099</v>
      </c>
      <c r="B118" s="2" t="s">
        <v>1105</v>
      </c>
    </row>
    <row r="119" spans="1:2" x14ac:dyDescent="0.3">
      <c r="A119" s="2" t="s">
        <v>1096</v>
      </c>
      <c r="B119" s="2" t="s">
        <v>1105</v>
      </c>
    </row>
    <row r="120" spans="1:2" x14ac:dyDescent="0.3">
      <c r="A120" s="2" t="s">
        <v>1099</v>
      </c>
      <c r="B120" s="2" t="s">
        <v>1105</v>
      </c>
    </row>
    <row r="121" spans="1:2" x14ac:dyDescent="0.3">
      <c r="A121" s="2" t="s">
        <v>1101</v>
      </c>
      <c r="B121" s="2" t="s">
        <v>1105</v>
      </c>
    </row>
    <row r="122" spans="1:2" x14ac:dyDescent="0.3">
      <c r="A122" s="2" t="s">
        <v>1098</v>
      </c>
      <c r="B122" s="2" t="s">
        <v>1105</v>
      </c>
    </row>
    <row r="123" spans="1:2" x14ac:dyDescent="0.3">
      <c r="A123" s="2" t="s">
        <v>1101</v>
      </c>
      <c r="B123" s="2" t="s">
        <v>1105</v>
      </c>
    </row>
    <row r="124" spans="1:2" x14ac:dyDescent="0.3">
      <c r="A124" s="2" t="s">
        <v>1099</v>
      </c>
      <c r="B124" s="2" t="s">
        <v>1105</v>
      </c>
    </row>
    <row r="125" spans="1:2" x14ac:dyDescent="0.3">
      <c r="A125" s="2" t="s">
        <v>1102</v>
      </c>
      <c r="B125" s="2" t="s">
        <v>1105</v>
      </c>
    </row>
    <row r="126" spans="1:2" x14ac:dyDescent="0.3">
      <c r="A126" s="2" t="s">
        <v>1100</v>
      </c>
      <c r="B126" s="2" t="s">
        <v>1105</v>
      </c>
    </row>
    <row r="127" spans="1:2" x14ac:dyDescent="0.3">
      <c r="A127" s="2" t="s">
        <v>1101</v>
      </c>
      <c r="B127" s="2" t="s">
        <v>1105</v>
      </c>
    </row>
    <row r="128" spans="1:2" x14ac:dyDescent="0.3">
      <c r="A128" s="2" t="s">
        <v>1101</v>
      </c>
      <c r="B128" s="2" t="s">
        <v>1105</v>
      </c>
    </row>
    <row r="129" spans="1:2" x14ac:dyDescent="0.3">
      <c r="A129" s="2" t="s">
        <v>1097</v>
      </c>
      <c r="B129" s="2" t="s">
        <v>1105</v>
      </c>
    </row>
    <row r="130" spans="1:2" x14ac:dyDescent="0.3">
      <c r="A130" s="2" t="s">
        <v>1102</v>
      </c>
      <c r="B130" s="2" t="s">
        <v>1105</v>
      </c>
    </row>
    <row r="131" spans="1:2" x14ac:dyDescent="0.3">
      <c r="A131" s="2" t="s">
        <v>1101</v>
      </c>
      <c r="B131" s="2" t="s">
        <v>1105</v>
      </c>
    </row>
    <row r="132" spans="1:2" x14ac:dyDescent="0.3">
      <c r="A132" s="2" t="s">
        <v>1101</v>
      </c>
      <c r="B132" s="2" t="s">
        <v>1105</v>
      </c>
    </row>
    <row r="133" spans="1:2" x14ac:dyDescent="0.3">
      <c r="A133" s="2" t="s">
        <v>1098</v>
      </c>
      <c r="B133" s="2" t="s">
        <v>1105</v>
      </c>
    </row>
    <row r="134" spans="1:2" x14ac:dyDescent="0.3">
      <c r="A134" s="2" t="s">
        <v>1103</v>
      </c>
      <c r="B134" s="2" t="s">
        <v>1105</v>
      </c>
    </row>
    <row r="135" spans="1:2" x14ac:dyDescent="0.3">
      <c r="A135" s="2" t="s">
        <v>1100</v>
      </c>
      <c r="B135" s="2" t="s">
        <v>1105</v>
      </c>
    </row>
    <row r="136" spans="1:2" x14ac:dyDescent="0.3">
      <c r="A136" s="2" t="s">
        <v>1102</v>
      </c>
      <c r="B136" s="2" t="s">
        <v>1105</v>
      </c>
    </row>
    <row r="137" spans="1:2" x14ac:dyDescent="0.3">
      <c r="A137" s="2" t="s">
        <v>1104</v>
      </c>
      <c r="B137" s="2" t="s">
        <v>1105</v>
      </c>
    </row>
    <row r="138" spans="1:2" x14ac:dyDescent="0.3">
      <c r="A138" s="2" t="s">
        <v>1102</v>
      </c>
      <c r="B138" s="2" t="s">
        <v>1105</v>
      </c>
    </row>
    <row r="139" spans="1:2" x14ac:dyDescent="0.3">
      <c r="A139" s="2" t="s">
        <v>1101</v>
      </c>
      <c r="B139" s="2" t="s">
        <v>1105</v>
      </c>
    </row>
    <row r="140" spans="1:2" x14ac:dyDescent="0.3">
      <c r="A140" s="2" t="s">
        <v>1098</v>
      </c>
      <c r="B140" s="2" t="s">
        <v>1105</v>
      </c>
    </row>
    <row r="141" spans="1:2" x14ac:dyDescent="0.3">
      <c r="A141" s="2" t="s">
        <v>1104</v>
      </c>
      <c r="B141" s="2" t="s">
        <v>1105</v>
      </c>
    </row>
    <row r="142" spans="1:2" x14ac:dyDescent="0.3">
      <c r="A142" s="2" t="s">
        <v>1101</v>
      </c>
      <c r="B142" s="2" t="s">
        <v>1105</v>
      </c>
    </row>
    <row r="143" spans="1:2" x14ac:dyDescent="0.3">
      <c r="A143" s="2" t="s">
        <v>1096</v>
      </c>
      <c r="B143" s="2" t="s">
        <v>1105</v>
      </c>
    </row>
    <row r="144" spans="1:2" x14ac:dyDescent="0.3">
      <c r="A144" s="2" t="s">
        <v>1104</v>
      </c>
      <c r="B144" s="2" t="s">
        <v>1105</v>
      </c>
    </row>
    <row r="145" spans="1:2" x14ac:dyDescent="0.3">
      <c r="A145" s="2" t="s">
        <v>1102</v>
      </c>
      <c r="B145" s="2" t="s">
        <v>1105</v>
      </c>
    </row>
    <row r="146" spans="1:2" x14ac:dyDescent="0.3">
      <c r="A146" s="2" t="s">
        <v>1103</v>
      </c>
      <c r="B146" s="2" t="s">
        <v>1105</v>
      </c>
    </row>
    <row r="147" spans="1:2" x14ac:dyDescent="0.3">
      <c r="A147" s="2" t="s">
        <v>1101</v>
      </c>
      <c r="B147" s="2" t="s">
        <v>1105</v>
      </c>
    </row>
    <row r="148" spans="1:2" x14ac:dyDescent="0.3">
      <c r="A148" s="2" t="s">
        <v>1099</v>
      </c>
      <c r="B148" s="2" t="s">
        <v>1105</v>
      </c>
    </row>
    <row r="149" spans="1:2" x14ac:dyDescent="0.3">
      <c r="A149" s="2" t="s">
        <v>1101</v>
      </c>
      <c r="B149" s="2" t="s">
        <v>1105</v>
      </c>
    </row>
    <row r="150" spans="1:2" x14ac:dyDescent="0.3">
      <c r="A150" s="2" t="s">
        <v>1101</v>
      </c>
      <c r="B150" s="2" t="s">
        <v>1105</v>
      </c>
    </row>
    <row r="151" spans="1:2" x14ac:dyDescent="0.3">
      <c r="A151" s="2" t="s">
        <v>1100</v>
      </c>
      <c r="B151" s="2" t="s">
        <v>1105</v>
      </c>
    </row>
    <row r="152" spans="1:2" x14ac:dyDescent="0.3">
      <c r="A152" s="2" t="s">
        <v>1100</v>
      </c>
      <c r="B152" s="2" t="s">
        <v>1105</v>
      </c>
    </row>
    <row r="153" spans="1:2" x14ac:dyDescent="0.3">
      <c r="A153" s="2" t="s">
        <v>1102</v>
      </c>
      <c r="B153" s="2" t="s">
        <v>1105</v>
      </c>
    </row>
    <row r="154" spans="1:2" x14ac:dyDescent="0.3">
      <c r="A154" s="2" t="s">
        <v>1097</v>
      </c>
      <c r="B154" s="2" t="s">
        <v>1105</v>
      </c>
    </row>
    <row r="155" spans="1:2" x14ac:dyDescent="0.3">
      <c r="A155" s="2" t="s">
        <v>1102</v>
      </c>
      <c r="B155" s="2" t="s">
        <v>1105</v>
      </c>
    </row>
    <row r="156" spans="1:2" x14ac:dyDescent="0.3">
      <c r="A156" s="2" t="s">
        <v>1097</v>
      </c>
      <c r="B156" s="2" t="s">
        <v>1105</v>
      </c>
    </row>
    <row r="157" spans="1:2" x14ac:dyDescent="0.3">
      <c r="A157" s="2" t="s">
        <v>1104</v>
      </c>
      <c r="B157" s="2" t="s">
        <v>1105</v>
      </c>
    </row>
    <row r="158" spans="1:2" x14ac:dyDescent="0.3">
      <c r="A158" s="2" t="s">
        <v>1099</v>
      </c>
      <c r="B158" s="2" t="s">
        <v>1105</v>
      </c>
    </row>
    <row r="159" spans="1:2" x14ac:dyDescent="0.3">
      <c r="A159" s="2" t="s">
        <v>1103</v>
      </c>
      <c r="B159" s="2" t="s">
        <v>1105</v>
      </c>
    </row>
    <row r="160" spans="1:2" x14ac:dyDescent="0.3">
      <c r="A160" s="2" t="s">
        <v>1102</v>
      </c>
      <c r="B160" s="2" t="s">
        <v>1105</v>
      </c>
    </row>
    <row r="161" spans="1:2" x14ac:dyDescent="0.3">
      <c r="A161" s="2" t="s">
        <v>1103</v>
      </c>
      <c r="B161" s="2" t="s">
        <v>1105</v>
      </c>
    </row>
    <row r="162" spans="1:2" x14ac:dyDescent="0.3">
      <c r="A162" s="2" t="s">
        <v>1101</v>
      </c>
      <c r="B162" s="2" t="s">
        <v>1105</v>
      </c>
    </row>
    <row r="163" spans="1:2" x14ac:dyDescent="0.3">
      <c r="A163" s="2" t="s">
        <v>1100</v>
      </c>
      <c r="B163" s="2" t="s">
        <v>1105</v>
      </c>
    </row>
    <row r="164" spans="1:2" x14ac:dyDescent="0.3">
      <c r="A164" s="2" t="s">
        <v>1101</v>
      </c>
      <c r="B164" s="2" t="s">
        <v>1105</v>
      </c>
    </row>
    <row r="165" spans="1:2" x14ac:dyDescent="0.3">
      <c r="A165" s="2" t="s">
        <v>1101</v>
      </c>
      <c r="B165" s="2" t="s">
        <v>1105</v>
      </c>
    </row>
    <row r="166" spans="1:2" x14ac:dyDescent="0.3">
      <c r="A166" s="2" t="s">
        <v>1100</v>
      </c>
      <c r="B166" s="2" t="s">
        <v>1105</v>
      </c>
    </row>
    <row r="167" spans="1:2" x14ac:dyDescent="0.3">
      <c r="A167" s="2" t="s">
        <v>1096</v>
      </c>
      <c r="B167" s="2" t="s">
        <v>1105</v>
      </c>
    </row>
    <row r="168" spans="1:2" x14ac:dyDescent="0.3">
      <c r="A168" s="2" t="s">
        <v>1103</v>
      </c>
      <c r="B168" s="2" t="s">
        <v>1105</v>
      </c>
    </row>
    <row r="169" spans="1:2" x14ac:dyDescent="0.3">
      <c r="A169" s="2" t="s">
        <v>1098</v>
      </c>
      <c r="B169" s="2" t="s">
        <v>1105</v>
      </c>
    </row>
    <row r="170" spans="1:2" x14ac:dyDescent="0.3">
      <c r="A170" s="2" t="s">
        <v>1098</v>
      </c>
      <c r="B170" s="2" t="s">
        <v>1105</v>
      </c>
    </row>
    <row r="171" spans="1:2" x14ac:dyDescent="0.3">
      <c r="A171" s="2" t="s">
        <v>1101</v>
      </c>
      <c r="B171" s="2" t="s">
        <v>1105</v>
      </c>
    </row>
    <row r="172" spans="1:2" x14ac:dyDescent="0.3">
      <c r="A172" s="2" t="s">
        <v>1098</v>
      </c>
      <c r="B172" s="2" t="s">
        <v>1105</v>
      </c>
    </row>
    <row r="173" spans="1:2" x14ac:dyDescent="0.3">
      <c r="A173" s="2" t="s">
        <v>1103</v>
      </c>
      <c r="B173" s="2" t="s">
        <v>1105</v>
      </c>
    </row>
    <row r="174" spans="1:2" x14ac:dyDescent="0.3">
      <c r="A174" s="2" t="s">
        <v>1102</v>
      </c>
      <c r="B174" s="2" t="s">
        <v>1105</v>
      </c>
    </row>
    <row r="175" spans="1:2" x14ac:dyDescent="0.3">
      <c r="A175" s="2" t="s">
        <v>1096</v>
      </c>
      <c r="B175" s="2" t="s">
        <v>1105</v>
      </c>
    </row>
    <row r="176" spans="1:2" x14ac:dyDescent="0.3">
      <c r="A176" s="2" t="s">
        <v>1101</v>
      </c>
      <c r="B176" s="2" t="s">
        <v>1105</v>
      </c>
    </row>
    <row r="177" spans="1:2" x14ac:dyDescent="0.3">
      <c r="A177" s="2" t="s">
        <v>1096</v>
      </c>
      <c r="B177" s="2" t="s">
        <v>1105</v>
      </c>
    </row>
    <row r="178" spans="1:2" x14ac:dyDescent="0.3">
      <c r="A178" s="2" t="s">
        <v>1097</v>
      </c>
      <c r="B178" s="2" t="s">
        <v>1105</v>
      </c>
    </row>
    <row r="179" spans="1:2" x14ac:dyDescent="0.3">
      <c r="A179" s="2" t="s">
        <v>1103</v>
      </c>
      <c r="B179" s="2" t="s">
        <v>1105</v>
      </c>
    </row>
    <row r="180" spans="1:2" x14ac:dyDescent="0.3">
      <c r="A180" s="2" t="s">
        <v>1102</v>
      </c>
      <c r="B180" s="2" t="s">
        <v>1105</v>
      </c>
    </row>
    <row r="181" spans="1:2" x14ac:dyDescent="0.3">
      <c r="A181" s="2" t="s">
        <v>1097</v>
      </c>
      <c r="B181" s="2" t="s">
        <v>1105</v>
      </c>
    </row>
    <row r="182" spans="1:2" x14ac:dyDescent="0.3">
      <c r="A182" s="2" t="s">
        <v>1102</v>
      </c>
      <c r="B182" s="2" t="s">
        <v>1105</v>
      </c>
    </row>
    <row r="183" spans="1:2" x14ac:dyDescent="0.3">
      <c r="A183" s="2" t="s">
        <v>1101</v>
      </c>
      <c r="B183" s="2" t="s">
        <v>1105</v>
      </c>
    </row>
    <row r="184" spans="1:2" x14ac:dyDescent="0.3">
      <c r="A184" s="2" t="s">
        <v>1103</v>
      </c>
      <c r="B184" s="2" t="s">
        <v>1105</v>
      </c>
    </row>
    <row r="185" spans="1:2" x14ac:dyDescent="0.3">
      <c r="A185" s="2" t="s">
        <v>1100</v>
      </c>
      <c r="B185" s="2" t="s">
        <v>1105</v>
      </c>
    </row>
    <row r="186" spans="1:2" x14ac:dyDescent="0.3">
      <c r="A186" s="2" t="s">
        <v>1104</v>
      </c>
      <c r="B186" s="2" t="s">
        <v>1105</v>
      </c>
    </row>
    <row r="187" spans="1:2" x14ac:dyDescent="0.3">
      <c r="A187" s="2" t="s">
        <v>1104</v>
      </c>
      <c r="B187" s="2" t="s">
        <v>1105</v>
      </c>
    </row>
    <row r="188" spans="1:2" x14ac:dyDescent="0.3">
      <c r="A188" s="2" t="s">
        <v>1102</v>
      </c>
      <c r="B188" s="2" t="s">
        <v>1105</v>
      </c>
    </row>
    <row r="189" spans="1:2" x14ac:dyDescent="0.3">
      <c r="A189" s="2" t="s">
        <v>1101</v>
      </c>
      <c r="B189" s="2" t="s">
        <v>1105</v>
      </c>
    </row>
    <row r="190" spans="1:2" x14ac:dyDescent="0.3">
      <c r="A190" s="2" t="s">
        <v>1102</v>
      </c>
      <c r="B190" s="2" t="s">
        <v>1105</v>
      </c>
    </row>
    <row r="191" spans="1:2" x14ac:dyDescent="0.3">
      <c r="A191" s="2" t="s">
        <v>1097</v>
      </c>
      <c r="B191" s="2" t="s">
        <v>1105</v>
      </c>
    </row>
    <row r="192" spans="1:2" x14ac:dyDescent="0.3">
      <c r="A192" s="2" t="s">
        <v>1099</v>
      </c>
      <c r="B192" s="2" t="s">
        <v>1105</v>
      </c>
    </row>
    <row r="193" spans="1:2" x14ac:dyDescent="0.3">
      <c r="A193" s="2" t="s">
        <v>1098</v>
      </c>
      <c r="B193" s="2" t="s">
        <v>1105</v>
      </c>
    </row>
    <row r="194" spans="1:2" x14ac:dyDescent="0.3">
      <c r="A194" s="2" t="s">
        <v>1100</v>
      </c>
      <c r="B194" s="2" t="s">
        <v>1105</v>
      </c>
    </row>
    <row r="195" spans="1:2" x14ac:dyDescent="0.3">
      <c r="A195" s="2" t="s">
        <v>1103</v>
      </c>
      <c r="B195" s="2" t="s">
        <v>1105</v>
      </c>
    </row>
    <row r="196" spans="1:2" x14ac:dyDescent="0.3">
      <c r="A196" s="2" t="s">
        <v>1097</v>
      </c>
      <c r="B196" s="2" t="s">
        <v>1105</v>
      </c>
    </row>
    <row r="197" spans="1:2" x14ac:dyDescent="0.3">
      <c r="A197" s="2" t="s">
        <v>1101</v>
      </c>
      <c r="B197" s="2" t="s">
        <v>1105</v>
      </c>
    </row>
    <row r="198" spans="1:2" x14ac:dyDescent="0.3">
      <c r="A198" s="2" t="s">
        <v>1102</v>
      </c>
      <c r="B198" s="2" t="s">
        <v>1105</v>
      </c>
    </row>
    <row r="199" spans="1:2" x14ac:dyDescent="0.3">
      <c r="A199" s="2" t="s">
        <v>1100</v>
      </c>
      <c r="B199" s="2" t="s">
        <v>1105</v>
      </c>
    </row>
    <row r="200" spans="1:2" x14ac:dyDescent="0.3">
      <c r="A200" s="2" t="s">
        <v>1098</v>
      </c>
      <c r="B200" s="2" t="s">
        <v>1105</v>
      </c>
    </row>
    <row r="201" spans="1:2" x14ac:dyDescent="0.3">
      <c r="A201" s="2" t="s">
        <v>1097</v>
      </c>
      <c r="B201" s="2" t="s">
        <v>1105</v>
      </c>
    </row>
    <row r="202" spans="1:2" x14ac:dyDescent="0.3">
      <c r="A202" s="2" t="s">
        <v>1096</v>
      </c>
      <c r="B202" s="2" t="s">
        <v>1105</v>
      </c>
    </row>
    <row r="203" spans="1:2" x14ac:dyDescent="0.3">
      <c r="A203" s="2" t="s">
        <v>1103</v>
      </c>
      <c r="B203" s="2" t="s">
        <v>1105</v>
      </c>
    </row>
    <row r="204" spans="1:2" x14ac:dyDescent="0.3">
      <c r="A204" s="2" t="s">
        <v>1103</v>
      </c>
      <c r="B204" s="2" t="s">
        <v>1105</v>
      </c>
    </row>
    <row r="205" spans="1:2" x14ac:dyDescent="0.3">
      <c r="A205" s="2" t="s">
        <v>1101</v>
      </c>
      <c r="B205" s="2" t="s">
        <v>1105</v>
      </c>
    </row>
    <row r="206" spans="1:2" x14ac:dyDescent="0.3">
      <c r="A206" s="2" t="s">
        <v>1103</v>
      </c>
      <c r="B206" s="2" t="s">
        <v>1105</v>
      </c>
    </row>
    <row r="207" spans="1:2" x14ac:dyDescent="0.3">
      <c r="A207" s="2" t="s">
        <v>1097</v>
      </c>
      <c r="B207" s="2" t="s">
        <v>1105</v>
      </c>
    </row>
    <row r="208" spans="1:2" x14ac:dyDescent="0.3">
      <c r="A208" s="2" t="s">
        <v>1098</v>
      </c>
      <c r="B208" s="2" t="s">
        <v>1105</v>
      </c>
    </row>
    <row r="209" spans="1:2" x14ac:dyDescent="0.3">
      <c r="A209" s="2" t="s">
        <v>1097</v>
      </c>
      <c r="B209" s="2" t="s">
        <v>1105</v>
      </c>
    </row>
    <row r="210" spans="1:2" x14ac:dyDescent="0.3">
      <c r="A210" s="2" t="s">
        <v>1096</v>
      </c>
      <c r="B210" s="2" t="s">
        <v>1105</v>
      </c>
    </row>
    <row r="211" spans="1:2" x14ac:dyDescent="0.3">
      <c r="A211" s="2" t="s">
        <v>1103</v>
      </c>
      <c r="B211" s="2" t="s">
        <v>1105</v>
      </c>
    </row>
    <row r="212" spans="1:2" x14ac:dyDescent="0.3">
      <c r="A212" s="2" t="s">
        <v>1103</v>
      </c>
      <c r="B212" s="2" t="s">
        <v>1105</v>
      </c>
    </row>
    <row r="213" spans="1:2" x14ac:dyDescent="0.3">
      <c r="A213" s="2" t="s">
        <v>1104</v>
      </c>
      <c r="B213" s="2" t="s">
        <v>1105</v>
      </c>
    </row>
    <row r="214" spans="1:2" x14ac:dyDescent="0.3">
      <c r="A214" s="2" t="s">
        <v>1101</v>
      </c>
      <c r="B214" s="2" t="s">
        <v>1105</v>
      </c>
    </row>
    <row r="215" spans="1:2" x14ac:dyDescent="0.3">
      <c r="A215" s="2" t="s">
        <v>1098</v>
      </c>
      <c r="B215" s="2" t="s">
        <v>1105</v>
      </c>
    </row>
    <row r="216" spans="1:2" x14ac:dyDescent="0.3">
      <c r="A216" s="2" t="s">
        <v>1097</v>
      </c>
      <c r="B216" s="2" t="s">
        <v>1105</v>
      </c>
    </row>
    <row r="217" spans="1:2" x14ac:dyDescent="0.3">
      <c r="A217" s="2" t="s">
        <v>1103</v>
      </c>
      <c r="B217" s="2" t="s">
        <v>1105</v>
      </c>
    </row>
    <row r="218" spans="1:2" x14ac:dyDescent="0.3">
      <c r="A218" s="2" t="s">
        <v>1098</v>
      </c>
      <c r="B218" s="2" t="s">
        <v>1105</v>
      </c>
    </row>
    <row r="219" spans="1:2" x14ac:dyDescent="0.3">
      <c r="A219" s="2" t="s">
        <v>1104</v>
      </c>
      <c r="B219" s="2" t="s">
        <v>1105</v>
      </c>
    </row>
    <row r="220" spans="1:2" x14ac:dyDescent="0.3">
      <c r="A220" s="2" t="s">
        <v>1098</v>
      </c>
      <c r="B220" s="2" t="s">
        <v>1105</v>
      </c>
    </row>
    <row r="221" spans="1:2" x14ac:dyDescent="0.3">
      <c r="A221" s="2" t="s">
        <v>1103</v>
      </c>
      <c r="B221" s="2" t="s">
        <v>1105</v>
      </c>
    </row>
    <row r="222" spans="1:2" x14ac:dyDescent="0.3">
      <c r="A222" s="2" t="s">
        <v>1102</v>
      </c>
      <c r="B222" s="2" t="s">
        <v>1105</v>
      </c>
    </row>
    <row r="223" spans="1:2" x14ac:dyDescent="0.3">
      <c r="A223" s="2" t="s">
        <v>1099</v>
      </c>
      <c r="B223" s="2" t="s">
        <v>1105</v>
      </c>
    </row>
    <row r="224" spans="1:2" x14ac:dyDescent="0.3">
      <c r="A224" s="2" t="s">
        <v>1097</v>
      </c>
      <c r="B224" s="2" t="s">
        <v>1105</v>
      </c>
    </row>
    <row r="225" spans="1:2" x14ac:dyDescent="0.3">
      <c r="A225" s="2" t="s">
        <v>1097</v>
      </c>
      <c r="B225" s="2" t="s">
        <v>1105</v>
      </c>
    </row>
    <row r="226" spans="1:2" x14ac:dyDescent="0.3">
      <c r="A226" s="2" t="s">
        <v>1104</v>
      </c>
      <c r="B226" s="2" t="s">
        <v>1105</v>
      </c>
    </row>
    <row r="227" spans="1:2" x14ac:dyDescent="0.3">
      <c r="A227" s="2" t="s">
        <v>1099</v>
      </c>
      <c r="B227" s="2" t="s">
        <v>1105</v>
      </c>
    </row>
    <row r="228" spans="1:2" x14ac:dyDescent="0.3">
      <c r="A228" s="2" t="s">
        <v>1102</v>
      </c>
      <c r="B228" s="2" t="s">
        <v>1105</v>
      </c>
    </row>
    <row r="229" spans="1:2" x14ac:dyDescent="0.3">
      <c r="A229" s="2" t="s">
        <v>1097</v>
      </c>
      <c r="B229" s="2" t="s">
        <v>1105</v>
      </c>
    </row>
    <row r="230" spans="1:2" x14ac:dyDescent="0.3">
      <c r="A230" s="2" t="s">
        <v>1104</v>
      </c>
      <c r="B230" s="2" t="s">
        <v>1105</v>
      </c>
    </row>
    <row r="231" spans="1:2" x14ac:dyDescent="0.3">
      <c r="A231" s="2" t="s">
        <v>1099</v>
      </c>
      <c r="B231" s="2" t="s">
        <v>1105</v>
      </c>
    </row>
    <row r="232" spans="1:2" x14ac:dyDescent="0.3">
      <c r="A232" s="2" t="s">
        <v>1096</v>
      </c>
      <c r="B232" s="2" t="s">
        <v>1105</v>
      </c>
    </row>
    <row r="233" spans="1:2" x14ac:dyDescent="0.3">
      <c r="A233" s="2" t="s">
        <v>1098</v>
      </c>
      <c r="B233" s="2" t="s">
        <v>1105</v>
      </c>
    </row>
    <row r="234" spans="1:2" x14ac:dyDescent="0.3">
      <c r="A234" s="2" t="s">
        <v>1101</v>
      </c>
      <c r="B234" s="2" t="s">
        <v>1105</v>
      </c>
    </row>
    <row r="235" spans="1:2" x14ac:dyDescent="0.3">
      <c r="A235" s="2" t="s">
        <v>1099</v>
      </c>
      <c r="B235" s="2" t="s">
        <v>1105</v>
      </c>
    </row>
    <row r="236" spans="1:2" x14ac:dyDescent="0.3">
      <c r="A236" s="2" t="s">
        <v>1104</v>
      </c>
      <c r="B236" s="2" t="s">
        <v>1105</v>
      </c>
    </row>
    <row r="237" spans="1:2" x14ac:dyDescent="0.3">
      <c r="A237" s="2" t="s">
        <v>1101</v>
      </c>
      <c r="B237" s="2" t="s">
        <v>1105</v>
      </c>
    </row>
    <row r="238" spans="1:2" x14ac:dyDescent="0.3">
      <c r="A238" s="2" t="s">
        <v>1104</v>
      </c>
      <c r="B238" s="2" t="s">
        <v>1105</v>
      </c>
    </row>
    <row r="239" spans="1:2" x14ac:dyDescent="0.3">
      <c r="A239" s="2" t="s">
        <v>1098</v>
      </c>
      <c r="B239" s="2" t="s">
        <v>1105</v>
      </c>
    </row>
    <row r="240" spans="1:2" x14ac:dyDescent="0.3">
      <c r="A240" s="2" t="s">
        <v>1101</v>
      </c>
      <c r="B240" s="2" t="s">
        <v>1105</v>
      </c>
    </row>
    <row r="241" spans="1:2" x14ac:dyDescent="0.3">
      <c r="A241" s="2" t="s">
        <v>1102</v>
      </c>
      <c r="B241" s="2" t="s">
        <v>1105</v>
      </c>
    </row>
    <row r="242" spans="1:2" x14ac:dyDescent="0.3">
      <c r="A242" s="2" t="s">
        <v>1098</v>
      </c>
      <c r="B242" s="2" t="s">
        <v>1105</v>
      </c>
    </row>
    <row r="243" spans="1:2" x14ac:dyDescent="0.3">
      <c r="A243" s="2" t="s">
        <v>1096</v>
      </c>
      <c r="B243" s="2" t="s">
        <v>1105</v>
      </c>
    </row>
    <row r="244" spans="1:2" x14ac:dyDescent="0.3">
      <c r="A244" s="2" t="s">
        <v>1101</v>
      </c>
      <c r="B244" s="2" t="s">
        <v>1105</v>
      </c>
    </row>
    <row r="245" spans="1:2" x14ac:dyDescent="0.3">
      <c r="A245" s="2" t="s">
        <v>1104</v>
      </c>
      <c r="B245" s="2" t="s">
        <v>1105</v>
      </c>
    </row>
    <row r="246" spans="1:2" x14ac:dyDescent="0.3">
      <c r="A246" s="2" t="s">
        <v>1099</v>
      </c>
      <c r="B246" s="2" t="s">
        <v>1105</v>
      </c>
    </row>
    <row r="247" spans="1:2" x14ac:dyDescent="0.3">
      <c r="A247" s="2" t="s">
        <v>1104</v>
      </c>
      <c r="B247" s="2" t="s">
        <v>1105</v>
      </c>
    </row>
    <row r="248" spans="1:2" x14ac:dyDescent="0.3">
      <c r="A248" s="2" t="s">
        <v>1096</v>
      </c>
      <c r="B248" s="2" t="s">
        <v>1105</v>
      </c>
    </row>
    <row r="249" spans="1:2" x14ac:dyDescent="0.3">
      <c r="A249" s="2" t="s">
        <v>1103</v>
      </c>
      <c r="B249" s="2" t="s">
        <v>1105</v>
      </c>
    </row>
    <row r="250" spans="1:2" x14ac:dyDescent="0.3">
      <c r="A250" s="2" t="s">
        <v>1099</v>
      </c>
      <c r="B250" s="2" t="s">
        <v>1105</v>
      </c>
    </row>
    <row r="251" spans="1:2" x14ac:dyDescent="0.3">
      <c r="A251" s="2" t="s">
        <v>1103</v>
      </c>
      <c r="B251" s="2" t="s">
        <v>1105</v>
      </c>
    </row>
    <row r="252" spans="1:2" x14ac:dyDescent="0.3">
      <c r="A252" s="2" t="s">
        <v>1102</v>
      </c>
      <c r="B252" s="2" t="s">
        <v>1105</v>
      </c>
    </row>
    <row r="253" spans="1:2" x14ac:dyDescent="0.3">
      <c r="A253" s="2" t="s">
        <v>1103</v>
      </c>
      <c r="B253" s="2" t="s">
        <v>1105</v>
      </c>
    </row>
    <row r="254" spans="1:2" x14ac:dyDescent="0.3">
      <c r="A254" s="2" t="s">
        <v>1101</v>
      </c>
      <c r="B254" s="2" t="s">
        <v>1105</v>
      </c>
    </row>
    <row r="255" spans="1:2" x14ac:dyDescent="0.3">
      <c r="A255" s="2" t="s">
        <v>1097</v>
      </c>
      <c r="B255" s="2" t="s">
        <v>1105</v>
      </c>
    </row>
    <row r="256" spans="1:2" x14ac:dyDescent="0.3">
      <c r="A256" s="2" t="s">
        <v>1100</v>
      </c>
      <c r="B256" s="2" t="s">
        <v>1105</v>
      </c>
    </row>
    <row r="257" spans="1:2" x14ac:dyDescent="0.3">
      <c r="A257" s="2" t="s">
        <v>1103</v>
      </c>
      <c r="B257" s="2" t="s">
        <v>1105</v>
      </c>
    </row>
    <row r="258" spans="1:2" x14ac:dyDescent="0.3">
      <c r="A258" s="2" t="s">
        <v>1097</v>
      </c>
      <c r="B258" s="2" t="s">
        <v>1105</v>
      </c>
    </row>
    <row r="259" spans="1:2" x14ac:dyDescent="0.3">
      <c r="A259" s="2" t="s">
        <v>1102</v>
      </c>
      <c r="B259" s="2" t="s">
        <v>1105</v>
      </c>
    </row>
    <row r="260" spans="1:2" x14ac:dyDescent="0.3">
      <c r="A260" s="2" t="s">
        <v>1104</v>
      </c>
      <c r="B260" s="2" t="s">
        <v>1105</v>
      </c>
    </row>
    <row r="261" spans="1:2" x14ac:dyDescent="0.3">
      <c r="A261" s="2" t="s">
        <v>1102</v>
      </c>
      <c r="B261" s="2" t="s">
        <v>1105</v>
      </c>
    </row>
    <row r="262" spans="1:2" x14ac:dyDescent="0.3">
      <c r="A262" s="2" t="s">
        <v>1097</v>
      </c>
      <c r="B262" s="2" t="s">
        <v>1105</v>
      </c>
    </row>
    <row r="263" spans="1:2" x14ac:dyDescent="0.3">
      <c r="A263" s="2" t="s">
        <v>1104</v>
      </c>
      <c r="B263" s="2" t="s">
        <v>1105</v>
      </c>
    </row>
    <row r="264" spans="1:2" x14ac:dyDescent="0.3">
      <c r="A264" s="2" t="s">
        <v>1100</v>
      </c>
      <c r="B264" s="2" t="s">
        <v>1105</v>
      </c>
    </row>
    <row r="265" spans="1:2" x14ac:dyDescent="0.3">
      <c r="A265" s="2" t="s">
        <v>1098</v>
      </c>
      <c r="B265" s="2" t="s">
        <v>1105</v>
      </c>
    </row>
    <row r="266" spans="1:2" x14ac:dyDescent="0.3">
      <c r="A266" s="2" t="s">
        <v>1096</v>
      </c>
      <c r="B266" s="2" t="s">
        <v>1105</v>
      </c>
    </row>
    <row r="267" spans="1:2" x14ac:dyDescent="0.3">
      <c r="A267" s="2" t="s">
        <v>1099</v>
      </c>
      <c r="B267" s="2" t="s">
        <v>1105</v>
      </c>
    </row>
    <row r="268" spans="1:2" x14ac:dyDescent="0.3">
      <c r="A268" s="2" t="s">
        <v>1097</v>
      </c>
      <c r="B268" s="2" t="s">
        <v>1105</v>
      </c>
    </row>
    <row r="269" spans="1:2" x14ac:dyDescent="0.3">
      <c r="A269" s="2" t="s">
        <v>1104</v>
      </c>
      <c r="B269" s="2" t="s">
        <v>1105</v>
      </c>
    </row>
    <row r="270" spans="1:2" x14ac:dyDescent="0.3">
      <c r="A270" s="2" t="s">
        <v>1101</v>
      </c>
      <c r="B270" s="2" t="s">
        <v>1105</v>
      </c>
    </row>
    <row r="271" spans="1:2" x14ac:dyDescent="0.3">
      <c r="A271" s="2" t="s">
        <v>1097</v>
      </c>
      <c r="B271" s="2" t="s">
        <v>1105</v>
      </c>
    </row>
    <row r="272" spans="1:2" x14ac:dyDescent="0.3">
      <c r="A272" s="2" t="s">
        <v>1096</v>
      </c>
      <c r="B272" s="2" t="s">
        <v>1105</v>
      </c>
    </row>
    <row r="273" spans="1:2" x14ac:dyDescent="0.3">
      <c r="A273" s="2" t="s">
        <v>1102</v>
      </c>
      <c r="B273" s="2" t="s">
        <v>1105</v>
      </c>
    </row>
    <row r="274" spans="1:2" x14ac:dyDescent="0.3">
      <c r="A274" s="2" t="s">
        <v>1103</v>
      </c>
      <c r="B274" s="2" t="s">
        <v>1105</v>
      </c>
    </row>
    <row r="275" spans="1:2" x14ac:dyDescent="0.3">
      <c r="A275" s="2" t="s">
        <v>1101</v>
      </c>
      <c r="B275" s="2" t="s">
        <v>1105</v>
      </c>
    </row>
    <row r="276" spans="1:2" x14ac:dyDescent="0.3">
      <c r="A276" s="2" t="s">
        <v>1102</v>
      </c>
      <c r="B276" s="2" t="s">
        <v>1105</v>
      </c>
    </row>
    <row r="277" spans="1:2" x14ac:dyDescent="0.3">
      <c r="A277" s="2" t="s">
        <v>1101</v>
      </c>
      <c r="B277" s="2" t="s">
        <v>1105</v>
      </c>
    </row>
    <row r="278" spans="1:2" x14ac:dyDescent="0.3">
      <c r="A278" s="2" t="s">
        <v>1096</v>
      </c>
      <c r="B278" s="2" t="s">
        <v>1105</v>
      </c>
    </row>
    <row r="279" spans="1:2" x14ac:dyDescent="0.3">
      <c r="A279" s="2" t="s">
        <v>1099</v>
      </c>
      <c r="B279" s="2" t="s">
        <v>1105</v>
      </c>
    </row>
    <row r="280" spans="1:2" x14ac:dyDescent="0.3">
      <c r="A280" s="2" t="s">
        <v>1103</v>
      </c>
      <c r="B280" s="2" t="s">
        <v>1105</v>
      </c>
    </row>
    <row r="281" spans="1:2" x14ac:dyDescent="0.3">
      <c r="A281" s="2" t="s">
        <v>1096</v>
      </c>
      <c r="B281" s="2" t="s">
        <v>1105</v>
      </c>
    </row>
    <row r="282" spans="1:2" x14ac:dyDescent="0.3">
      <c r="A282" s="2" t="s">
        <v>1104</v>
      </c>
      <c r="B282" s="2" t="s">
        <v>1105</v>
      </c>
    </row>
    <row r="283" spans="1:2" x14ac:dyDescent="0.3">
      <c r="A283" s="2" t="s">
        <v>1104</v>
      </c>
      <c r="B283" s="2" t="s">
        <v>1105</v>
      </c>
    </row>
    <row r="284" spans="1:2" x14ac:dyDescent="0.3">
      <c r="A284" s="2" t="s">
        <v>1099</v>
      </c>
      <c r="B284" s="2" t="s">
        <v>1105</v>
      </c>
    </row>
    <row r="285" spans="1:2" x14ac:dyDescent="0.3">
      <c r="A285" s="2" t="s">
        <v>1097</v>
      </c>
      <c r="B285" s="2" t="s">
        <v>1105</v>
      </c>
    </row>
    <row r="286" spans="1:2" x14ac:dyDescent="0.3">
      <c r="A286" s="2" t="s">
        <v>1104</v>
      </c>
      <c r="B286" s="2" t="s">
        <v>1105</v>
      </c>
    </row>
    <row r="287" spans="1:2" x14ac:dyDescent="0.3">
      <c r="A287" s="2" t="s">
        <v>1096</v>
      </c>
      <c r="B287" s="2" t="s">
        <v>1105</v>
      </c>
    </row>
    <row r="288" spans="1:2" x14ac:dyDescent="0.3">
      <c r="A288" s="2" t="s">
        <v>1096</v>
      </c>
      <c r="B288" s="2" t="s">
        <v>1105</v>
      </c>
    </row>
    <row r="289" spans="1:2" x14ac:dyDescent="0.3">
      <c r="A289" s="2" t="s">
        <v>1102</v>
      </c>
      <c r="B289" s="2" t="s">
        <v>1105</v>
      </c>
    </row>
    <row r="290" spans="1:2" x14ac:dyDescent="0.3">
      <c r="A290" s="2" t="s">
        <v>1101</v>
      </c>
      <c r="B290" s="2" t="s">
        <v>1105</v>
      </c>
    </row>
    <row r="291" spans="1:2" x14ac:dyDescent="0.3">
      <c r="A291" s="2" t="s">
        <v>1098</v>
      </c>
      <c r="B291" s="2" t="s">
        <v>1105</v>
      </c>
    </row>
    <row r="292" spans="1:2" x14ac:dyDescent="0.3">
      <c r="A292" s="2" t="s">
        <v>1097</v>
      </c>
      <c r="B292" s="2" t="s">
        <v>1105</v>
      </c>
    </row>
    <row r="293" spans="1:2" x14ac:dyDescent="0.3">
      <c r="A293" s="2" t="s">
        <v>1097</v>
      </c>
      <c r="B293" s="2" t="s">
        <v>1105</v>
      </c>
    </row>
    <row r="294" spans="1:2" x14ac:dyDescent="0.3">
      <c r="A294" s="2" t="s">
        <v>1099</v>
      </c>
      <c r="B294" s="2" t="s">
        <v>1105</v>
      </c>
    </row>
    <row r="295" spans="1:2" x14ac:dyDescent="0.3">
      <c r="A295" s="2" t="s">
        <v>1098</v>
      </c>
      <c r="B295" s="2" t="s">
        <v>1105</v>
      </c>
    </row>
    <row r="296" spans="1:2" x14ac:dyDescent="0.3">
      <c r="A296" s="2" t="s">
        <v>1097</v>
      </c>
      <c r="B296" s="2" t="s">
        <v>1105</v>
      </c>
    </row>
    <row r="297" spans="1:2" x14ac:dyDescent="0.3">
      <c r="A297" s="2" t="s">
        <v>1098</v>
      </c>
      <c r="B297" s="2" t="s">
        <v>1105</v>
      </c>
    </row>
    <row r="298" spans="1:2" x14ac:dyDescent="0.3">
      <c r="A298" s="2" t="s">
        <v>1096</v>
      </c>
      <c r="B298" s="2" t="s">
        <v>1105</v>
      </c>
    </row>
    <row r="299" spans="1:2" x14ac:dyDescent="0.3">
      <c r="A299" s="2" t="s">
        <v>1099</v>
      </c>
      <c r="B299" s="2" t="s">
        <v>1105</v>
      </c>
    </row>
    <row r="300" spans="1:2" x14ac:dyDescent="0.3">
      <c r="A300" s="2" t="s">
        <v>1096</v>
      </c>
      <c r="B300" s="2" t="s">
        <v>1105</v>
      </c>
    </row>
    <row r="301" spans="1:2" x14ac:dyDescent="0.3">
      <c r="A301" s="2" t="s">
        <v>1100</v>
      </c>
      <c r="B301" s="2" t="s">
        <v>1105</v>
      </c>
    </row>
    <row r="302" spans="1:2" x14ac:dyDescent="0.3">
      <c r="A302" s="2" t="s">
        <v>1103</v>
      </c>
      <c r="B302" s="2" t="s">
        <v>1105</v>
      </c>
    </row>
    <row r="303" spans="1:2" x14ac:dyDescent="0.3">
      <c r="A303" s="2" t="s">
        <v>1101</v>
      </c>
      <c r="B303" s="2" t="s">
        <v>1105</v>
      </c>
    </row>
    <row r="304" spans="1:2" x14ac:dyDescent="0.3">
      <c r="A304" s="2" t="s">
        <v>1096</v>
      </c>
      <c r="B304" s="2" t="s">
        <v>1105</v>
      </c>
    </row>
    <row r="305" spans="1:2" x14ac:dyDescent="0.3">
      <c r="A305" s="2" t="s">
        <v>1102</v>
      </c>
      <c r="B305" s="2" t="s">
        <v>1105</v>
      </c>
    </row>
    <row r="306" spans="1:2" x14ac:dyDescent="0.3">
      <c r="A306" s="2" t="s">
        <v>1098</v>
      </c>
      <c r="B306" s="2" t="s">
        <v>1105</v>
      </c>
    </row>
    <row r="307" spans="1:2" x14ac:dyDescent="0.3">
      <c r="A307" s="2" t="s">
        <v>1100</v>
      </c>
      <c r="B307" s="2" t="s">
        <v>1105</v>
      </c>
    </row>
    <row r="308" spans="1:2" x14ac:dyDescent="0.3">
      <c r="A308" s="2" t="s">
        <v>1104</v>
      </c>
      <c r="B308" s="2" t="s">
        <v>1105</v>
      </c>
    </row>
    <row r="309" spans="1:2" x14ac:dyDescent="0.3">
      <c r="A309" s="2" t="s">
        <v>1099</v>
      </c>
      <c r="B309" s="2" t="s">
        <v>1105</v>
      </c>
    </row>
    <row r="310" spans="1:2" x14ac:dyDescent="0.3">
      <c r="A310" s="2" t="s">
        <v>1099</v>
      </c>
      <c r="B310" s="2" t="s">
        <v>1105</v>
      </c>
    </row>
    <row r="311" spans="1:2" x14ac:dyDescent="0.3">
      <c r="A311" s="2" t="s">
        <v>1098</v>
      </c>
      <c r="B311" s="2" t="s">
        <v>1105</v>
      </c>
    </row>
    <row r="312" spans="1:2" x14ac:dyDescent="0.3">
      <c r="A312" s="2" t="s">
        <v>1100</v>
      </c>
      <c r="B312" s="2" t="s">
        <v>1105</v>
      </c>
    </row>
    <row r="313" spans="1:2" x14ac:dyDescent="0.3">
      <c r="A313" s="2" t="s">
        <v>1099</v>
      </c>
      <c r="B313" s="2" t="s">
        <v>1105</v>
      </c>
    </row>
    <row r="314" spans="1:2" x14ac:dyDescent="0.3">
      <c r="A314" s="2" t="s">
        <v>1098</v>
      </c>
      <c r="B314" s="2" t="s">
        <v>1105</v>
      </c>
    </row>
    <row r="315" spans="1:2" x14ac:dyDescent="0.3">
      <c r="A315" s="2" t="s">
        <v>1099</v>
      </c>
      <c r="B315" s="2" t="s">
        <v>1105</v>
      </c>
    </row>
    <row r="316" spans="1:2" x14ac:dyDescent="0.3">
      <c r="A316" s="2" t="s">
        <v>1098</v>
      </c>
      <c r="B316" s="2" t="s">
        <v>1105</v>
      </c>
    </row>
    <row r="317" spans="1:2" x14ac:dyDescent="0.3">
      <c r="A317" s="2" t="s">
        <v>1101</v>
      </c>
      <c r="B317" s="2" t="s">
        <v>1105</v>
      </c>
    </row>
    <row r="318" spans="1:2" x14ac:dyDescent="0.3">
      <c r="A318" s="2" t="s">
        <v>1097</v>
      </c>
      <c r="B318" s="2" t="s">
        <v>1105</v>
      </c>
    </row>
    <row r="319" spans="1:2" x14ac:dyDescent="0.3">
      <c r="A319" s="2" t="s">
        <v>1097</v>
      </c>
      <c r="B319" s="2" t="s">
        <v>1105</v>
      </c>
    </row>
    <row r="320" spans="1:2" x14ac:dyDescent="0.3">
      <c r="A320" s="2" t="s">
        <v>1102</v>
      </c>
      <c r="B320" s="2" t="s">
        <v>1105</v>
      </c>
    </row>
    <row r="321" spans="1:2" x14ac:dyDescent="0.3">
      <c r="A321" s="2" t="s">
        <v>1103</v>
      </c>
      <c r="B321" s="2" t="s">
        <v>1105</v>
      </c>
    </row>
    <row r="322" spans="1:2" x14ac:dyDescent="0.3">
      <c r="A322" s="2" t="s">
        <v>1102</v>
      </c>
      <c r="B322" s="2" t="s">
        <v>1105</v>
      </c>
    </row>
    <row r="323" spans="1:2" x14ac:dyDescent="0.3">
      <c r="A323" s="2" t="s">
        <v>1096</v>
      </c>
      <c r="B323" s="2" t="s">
        <v>1105</v>
      </c>
    </row>
    <row r="324" spans="1:2" x14ac:dyDescent="0.3">
      <c r="A324" s="2" t="s">
        <v>1102</v>
      </c>
      <c r="B324" s="2" t="s">
        <v>1105</v>
      </c>
    </row>
    <row r="325" spans="1:2" x14ac:dyDescent="0.3">
      <c r="A325" s="2" t="s">
        <v>1097</v>
      </c>
      <c r="B325" s="2" t="s">
        <v>1105</v>
      </c>
    </row>
    <row r="326" spans="1:2" x14ac:dyDescent="0.3">
      <c r="A326" s="2" t="s">
        <v>1098</v>
      </c>
      <c r="B326" s="2" t="s">
        <v>1105</v>
      </c>
    </row>
    <row r="327" spans="1:2" x14ac:dyDescent="0.3">
      <c r="A327" s="2" t="s">
        <v>1102</v>
      </c>
      <c r="B327" s="2" t="s">
        <v>1105</v>
      </c>
    </row>
    <row r="328" spans="1:2" x14ac:dyDescent="0.3">
      <c r="A328" s="2" t="s">
        <v>1097</v>
      </c>
      <c r="B328" s="2" t="s">
        <v>1105</v>
      </c>
    </row>
    <row r="329" spans="1:2" x14ac:dyDescent="0.3">
      <c r="A329" s="2" t="s">
        <v>1101</v>
      </c>
      <c r="B329" s="2" t="s">
        <v>1105</v>
      </c>
    </row>
    <row r="330" spans="1:2" x14ac:dyDescent="0.3">
      <c r="A330" s="2" t="s">
        <v>1100</v>
      </c>
      <c r="B330" s="2" t="s">
        <v>1105</v>
      </c>
    </row>
    <row r="331" spans="1:2" x14ac:dyDescent="0.3">
      <c r="A331" s="2" t="s">
        <v>1099</v>
      </c>
      <c r="B331" s="2" t="s">
        <v>1105</v>
      </c>
    </row>
    <row r="332" spans="1:2" x14ac:dyDescent="0.3">
      <c r="A332" s="2" t="s">
        <v>1104</v>
      </c>
      <c r="B332" s="2" t="s">
        <v>1105</v>
      </c>
    </row>
    <row r="333" spans="1:2" x14ac:dyDescent="0.3">
      <c r="A333" s="2" t="s">
        <v>1102</v>
      </c>
      <c r="B333" s="2" t="s">
        <v>1105</v>
      </c>
    </row>
    <row r="334" spans="1:2" x14ac:dyDescent="0.3">
      <c r="A334" s="2" t="s">
        <v>1104</v>
      </c>
      <c r="B334" s="2" t="s">
        <v>1105</v>
      </c>
    </row>
    <row r="335" spans="1:2" x14ac:dyDescent="0.3">
      <c r="A335" s="2" t="s">
        <v>1100</v>
      </c>
      <c r="B335" s="2" t="s">
        <v>1105</v>
      </c>
    </row>
    <row r="336" spans="1:2" x14ac:dyDescent="0.3">
      <c r="A336" s="2" t="s">
        <v>1101</v>
      </c>
      <c r="B336" s="2" t="s">
        <v>1105</v>
      </c>
    </row>
    <row r="337" spans="1:2" x14ac:dyDescent="0.3">
      <c r="A337" s="2" t="s">
        <v>1098</v>
      </c>
      <c r="B337" s="2" t="s">
        <v>1105</v>
      </c>
    </row>
    <row r="338" spans="1:2" x14ac:dyDescent="0.3">
      <c r="A338" s="2" t="s">
        <v>1099</v>
      </c>
      <c r="B338" s="2" t="s">
        <v>1105</v>
      </c>
    </row>
    <row r="339" spans="1:2" x14ac:dyDescent="0.3">
      <c r="A339" s="2" t="s">
        <v>1101</v>
      </c>
      <c r="B339" s="2" t="s">
        <v>1105</v>
      </c>
    </row>
    <row r="340" spans="1:2" x14ac:dyDescent="0.3">
      <c r="A340" s="2" t="s">
        <v>1101</v>
      </c>
      <c r="B340" s="2" t="s">
        <v>1105</v>
      </c>
    </row>
    <row r="341" spans="1:2" x14ac:dyDescent="0.3">
      <c r="A341" s="2" t="s">
        <v>1103</v>
      </c>
      <c r="B341" s="2" t="s">
        <v>1105</v>
      </c>
    </row>
    <row r="342" spans="1:2" x14ac:dyDescent="0.3">
      <c r="A342" s="2" t="s">
        <v>1103</v>
      </c>
      <c r="B342" s="2" t="s">
        <v>1105</v>
      </c>
    </row>
    <row r="343" spans="1:2" x14ac:dyDescent="0.3">
      <c r="A343" s="2" t="s">
        <v>1096</v>
      </c>
      <c r="B343" s="2" t="s">
        <v>1105</v>
      </c>
    </row>
    <row r="344" spans="1:2" x14ac:dyDescent="0.3">
      <c r="A344" s="2" t="s">
        <v>1099</v>
      </c>
      <c r="B344" s="2" t="s">
        <v>1105</v>
      </c>
    </row>
    <row r="345" spans="1:2" x14ac:dyDescent="0.3">
      <c r="A345" s="2" t="s">
        <v>1103</v>
      </c>
      <c r="B345" s="2" t="s">
        <v>1105</v>
      </c>
    </row>
    <row r="346" spans="1:2" x14ac:dyDescent="0.3">
      <c r="A346" s="2" t="s">
        <v>1101</v>
      </c>
      <c r="B346" s="2" t="s">
        <v>1105</v>
      </c>
    </row>
    <row r="347" spans="1:2" x14ac:dyDescent="0.3">
      <c r="A347" s="2" t="s">
        <v>1102</v>
      </c>
      <c r="B347" s="2" t="s">
        <v>1105</v>
      </c>
    </row>
    <row r="348" spans="1:2" x14ac:dyDescent="0.3">
      <c r="A348" s="2" t="s">
        <v>1096</v>
      </c>
      <c r="B348" s="2" t="s">
        <v>1105</v>
      </c>
    </row>
    <row r="349" spans="1:2" x14ac:dyDescent="0.3">
      <c r="A349" s="2" t="s">
        <v>1098</v>
      </c>
      <c r="B349" s="2" t="s">
        <v>1105</v>
      </c>
    </row>
    <row r="350" spans="1:2" x14ac:dyDescent="0.3">
      <c r="A350" s="2" t="s">
        <v>1101</v>
      </c>
      <c r="B350" s="2" t="s">
        <v>1105</v>
      </c>
    </row>
    <row r="351" spans="1:2" x14ac:dyDescent="0.3">
      <c r="A351" s="2" t="s">
        <v>1098</v>
      </c>
      <c r="B351" s="2" t="s">
        <v>1105</v>
      </c>
    </row>
    <row r="352" spans="1:2" x14ac:dyDescent="0.3">
      <c r="A352" s="2" t="s">
        <v>1099</v>
      </c>
      <c r="B352" s="2" t="s">
        <v>1105</v>
      </c>
    </row>
    <row r="353" spans="1:2" x14ac:dyDescent="0.3">
      <c r="A353" s="2" t="s">
        <v>1102</v>
      </c>
      <c r="B353" s="2" t="s">
        <v>1105</v>
      </c>
    </row>
    <row r="354" spans="1:2" x14ac:dyDescent="0.3">
      <c r="A354" s="2" t="s">
        <v>1097</v>
      </c>
      <c r="B354" s="2" t="s">
        <v>1105</v>
      </c>
    </row>
    <row r="355" spans="1:2" x14ac:dyDescent="0.3">
      <c r="A355" s="2" t="s">
        <v>1104</v>
      </c>
      <c r="B355" s="2" t="s">
        <v>1105</v>
      </c>
    </row>
    <row r="356" spans="1:2" x14ac:dyDescent="0.3">
      <c r="A356" s="2" t="s">
        <v>1102</v>
      </c>
      <c r="B356" s="2" t="s">
        <v>1105</v>
      </c>
    </row>
    <row r="357" spans="1:2" x14ac:dyDescent="0.3">
      <c r="A357" s="2" t="s">
        <v>1103</v>
      </c>
      <c r="B357" s="2" t="s">
        <v>1105</v>
      </c>
    </row>
    <row r="358" spans="1:2" x14ac:dyDescent="0.3">
      <c r="A358" s="2" t="s">
        <v>1098</v>
      </c>
      <c r="B358" s="2" t="s">
        <v>1105</v>
      </c>
    </row>
    <row r="359" spans="1:2" x14ac:dyDescent="0.3">
      <c r="A359" s="2" t="s">
        <v>1104</v>
      </c>
      <c r="B359" s="2" t="s">
        <v>1105</v>
      </c>
    </row>
    <row r="360" spans="1:2" x14ac:dyDescent="0.3">
      <c r="A360" s="2" t="s">
        <v>1097</v>
      </c>
      <c r="B360" s="2" t="s">
        <v>1105</v>
      </c>
    </row>
    <row r="361" spans="1:2" x14ac:dyDescent="0.3">
      <c r="A361" s="2" t="s">
        <v>1097</v>
      </c>
      <c r="B361" s="2" t="s">
        <v>1105</v>
      </c>
    </row>
    <row r="362" spans="1:2" x14ac:dyDescent="0.3">
      <c r="A362" s="2" t="s">
        <v>1098</v>
      </c>
      <c r="B362" s="2" t="s">
        <v>1105</v>
      </c>
    </row>
    <row r="363" spans="1:2" x14ac:dyDescent="0.3">
      <c r="A363" s="2" t="s">
        <v>1099</v>
      </c>
      <c r="B363" s="2" t="s">
        <v>1105</v>
      </c>
    </row>
    <row r="364" spans="1:2" x14ac:dyDescent="0.3">
      <c r="A364" s="2" t="s">
        <v>1100</v>
      </c>
      <c r="B364" s="2" t="s">
        <v>1105</v>
      </c>
    </row>
    <row r="365" spans="1:2" x14ac:dyDescent="0.3">
      <c r="A365" s="2" t="s">
        <v>1102</v>
      </c>
      <c r="B365" s="2" t="s">
        <v>1105</v>
      </c>
    </row>
    <row r="366" spans="1:2" x14ac:dyDescent="0.3">
      <c r="A366" s="2" t="s">
        <v>1101</v>
      </c>
      <c r="B366" s="2" t="s">
        <v>1105</v>
      </c>
    </row>
    <row r="367" spans="1:2" x14ac:dyDescent="0.3">
      <c r="A367" s="2" t="s">
        <v>1103</v>
      </c>
      <c r="B367" s="2" t="s">
        <v>1105</v>
      </c>
    </row>
    <row r="368" spans="1:2" x14ac:dyDescent="0.3">
      <c r="A368" s="2" t="s">
        <v>1102</v>
      </c>
      <c r="B368" s="2" t="s">
        <v>1105</v>
      </c>
    </row>
    <row r="369" spans="1:2" x14ac:dyDescent="0.3">
      <c r="A369" s="2" t="s">
        <v>1100</v>
      </c>
      <c r="B369" s="2" t="s">
        <v>1105</v>
      </c>
    </row>
    <row r="370" spans="1:2" x14ac:dyDescent="0.3">
      <c r="A370" s="2" t="s">
        <v>1097</v>
      </c>
      <c r="B370" s="2" t="s">
        <v>1105</v>
      </c>
    </row>
    <row r="371" spans="1:2" x14ac:dyDescent="0.3">
      <c r="A371" s="2" t="s">
        <v>1104</v>
      </c>
      <c r="B371" s="2" t="s">
        <v>1105</v>
      </c>
    </row>
    <row r="372" spans="1:2" x14ac:dyDescent="0.3">
      <c r="A372" s="2" t="s">
        <v>1099</v>
      </c>
      <c r="B372" s="2" t="s">
        <v>1105</v>
      </c>
    </row>
    <row r="373" spans="1:2" x14ac:dyDescent="0.3">
      <c r="A373" s="2" t="s">
        <v>1101</v>
      </c>
      <c r="B373" s="2" t="s">
        <v>1105</v>
      </c>
    </row>
    <row r="374" spans="1:2" x14ac:dyDescent="0.3">
      <c r="A374" s="2" t="s">
        <v>1096</v>
      </c>
      <c r="B374" s="2" t="s">
        <v>1105</v>
      </c>
    </row>
    <row r="375" spans="1:2" x14ac:dyDescent="0.3">
      <c r="A375" s="2" t="s">
        <v>1096</v>
      </c>
      <c r="B375" s="2" t="s">
        <v>1105</v>
      </c>
    </row>
    <row r="376" spans="1:2" x14ac:dyDescent="0.3">
      <c r="A376" s="2" t="s">
        <v>1102</v>
      </c>
      <c r="B376" s="2" t="s">
        <v>1105</v>
      </c>
    </row>
    <row r="377" spans="1:2" x14ac:dyDescent="0.3">
      <c r="A377" s="2" t="s">
        <v>1098</v>
      </c>
      <c r="B377" s="2" t="s">
        <v>1105</v>
      </c>
    </row>
    <row r="378" spans="1:2" x14ac:dyDescent="0.3">
      <c r="A378" s="2" t="s">
        <v>1101</v>
      </c>
      <c r="B378" s="2" t="s">
        <v>1105</v>
      </c>
    </row>
    <row r="379" spans="1:2" x14ac:dyDescent="0.3">
      <c r="A379" s="2" t="s">
        <v>1098</v>
      </c>
      <c r="B379" s="2" t="s">
        <v>1105</v>
      </c>
    </row>
    <row r="380" spans="1:2" x14ac:dyDescent="0.3">
      <c r="A380" s="2" t="s">
        <v>1101</v>
      </c>
      <c r="B380" s="2" t="s">
        <v>1105</v>
      </c>
    </row>
    <row r="381" spans="1:2" x14ac:dyDescent="0.3">
      <c r="A381" s="2" t="s">
        <v>1103</v>
      </c>
      <c r="B381" s="2" t="s">
        <v>1105</v>
      </c>
    </row>
    <row r="382" spans="1:2" x14ac:dyDescent="0.3">
      <c r="A382" s="2" t="s">
        <v>1097</v>
      </c>
      <c r="B382" s="2" t="s">
        <v>1105</v>
      </c>
    </row>
    <row r="383" spans="1:2" x14ac:dyDescent="0.3">
      <c r="A383" s="2" t="s">
        <v>1102</v>
      </c>
      <c r="B383" s="2" t="s">
        <v>1105</v>
      </c>
    </row>
    <row r="384" spans="1:2" x14ac:dyDescent="0.3">
      <c r="A384" s="2" t="s">
        <v>1101</v>
      </c>
      <c r="B384" s="2" t="s">
        <v>1105</v>
      </c>
    </row>
    <row r="385" spans="1:2" x14ac:dyDescent="0.3">
      <c r="A385" s="2" t="s">
        <v>1099</v>
      </c>
      <c r="B385" s="2" t="s">
        <v>1105</v>
      </c>
    </row>
    <row r="386" spans="1:2" x14ac:dyDescent="0.3">
      <c r="A386" s="2" t="s">
        <v>1101</v>
      </c>
      <c r="B386" s="2" t="s">
        <v>1105</v>
      </c>
    </row>
    <row r="387" spans="1:2" x14ac:dyDescent="0.3">
      <c r="A387" s="2" t="s">
        <v>1098</v>
      </c>
      <c r="B387" s="2" t="s">
        <v>1105</v>
      </c>
    </row>
    <row r="388" spans="1:2" x14ac:dyDescent="0.3">
      <c r="A388" s="2" t="s">
        <v>1096</v>
      </c>
      <c r="B388" s="2" t="s">
        <v>1105</v>
      </c>
    </row>
    <row r="389" spans="1:2" x14ac:dyDescent="0.3">
      <c r="A389" s="2" t="s">
        <v>1100</v>
      </c>
      <c r="B389" s="2" t="s">
        <v>1105</v>
      </c>
    </row>
    <row r="390" spans="1:2" x14ac:dyDescent="0.3">
      <c r="A390" s="2" t="s">
        <v>1097</v>
      </c>
      <c r="B390" s="2" t="s">
        <v>1105</v>
      </c>
    </row>
    <row r="391" spans="1:2" x14ac:dyDescent="0.3">
      <c r="A391" s="2" t="s">
        <v>1103</v>
      </c>
      <c r="B391" s="2" t="s">
        <v>1105</v>
      </c>
    </row>
    <row r="392" spans="1:2" x14ac:dyDescent="0.3">
      <c r="A392" s="2" t="s">
        <v>1104</v>
      </c>
      <c r="B392" s="2" t="s">
        <v>1105</v>
      </c>
    </row>
    <row r="393" spans="1:2" x14ac:dyDescent="0.3">
      <c r="A393" s="2" t="s">
        <v>1102</v>
      </c>
      <c r="B393" s="2" t="s">
        <v>1105</v>
      </c>
    </row>
    <row r="394" spans="1:2" x14ac:dyDescent="0.3">
      <c r="A394" s="2" t="s">
        <v>1101</v>
      </c>
      <c r="B394" s="2" t="s">
        <v>1105</v>
      </c>
    </row>
    <row r="395" spans="1:2" x14ac:dyDescent="0.3">
      <c r="A395" s="2" t="s">
        <v>1104</v>
      </c>
      <c r="B395" s="2" t="s">
        <v>1105</v>
      </c>
    </row>
    <row r="396" spans="1:2" x14ac:dyDescent="0.3">
      <c r="A396" s="2" t="s">
        <v>1101</v>
      </c>
      <c r="B396" s="2" t="s">
        <v>1105</v>
      </c>
    </row>
    <row r="397" spans="1:2" x14ac:dyDescent="0.3">
      <c r="A397" s="2" t="s">
        <v>1099</v>
      </c>
      <c r="B397" s="2" t="s">
        <v>1105</v>
      </c>
    </row>
    <row r="398" spans="1:2" x14ac:dyDescent="0.3">
      <c r="A398" s="2" t="s">
        <v>1100</v>
      </c>
      <c r="B398" s="2" t="s">
        <v>1105</v>
      </c>
    </row>
    <row r="399" spans="1:2" x14ac:dyDescent="0.3">
      <c r="A399" s="2" t="s">
        <v>1102</v>
      </c>
      <c r="B399" s="2" t="s">
        <v>1105</v>
      </c>
    </row>
    <row r="400" spans="1:2" x14ac:dyDescent="0.3">
      <c r="A400" s="2" t="s">
        <v>1098</v>
      </c>
      <c r="B400" s="2" t="s">
        <v>1105</v>
      </c>
    </row>
    <row r="401" spans="1:2" x14ac:dyDescent="0.3">
      <c r="A401" s="2" t="s">
        <v>1098</v>
      </c>
      <c r="B401" s="2" t="s">
        <v>1105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A44A-F1BE-407C-B935-4E38037D9885}">
  <dimension ref="A1:F401"/>
  <sheetViews>
    <sheetView workbookViewId="0">
      <selection activeCell="E14" sqref="E14"/>
    </sheetView>
  </sheetViews>
  <sheetFormatPr defaultRowHeight="14.4" x14ac:dyDescent="0.3"/>
  <cols>
    <col min="1" max="1" width="24.33203125" bestFit="1" customWidth="1"/>
    <col min="2" max="3" width="23.44140625" customWidth="1"/>
    <col min="4" max="4" width="32.77734375" customWidth="1"/>
    <col min="5" max="5" width="30.5546875" style="18" customWidth="1"/>
    <col min="6" max="6" width="21.109375" customWidth="1"/>
  </cols>
  <sheetData>
    <row r="1" spans="1:6" ht="75" customHeight="1" x14ac:dyDescent="0.3">
      <c r="A1" s="3" t="s">
        <v>2</v>
      </c>
      <c r="B1" s="14" t="s">
        <v>21</v>
      </c>
      <c r="C1" s="15" t="s">
        <v>1138</v>
      </c>
      <c r="D1" s="14" t="s">
        <v>26</v>
      </c>
      <c r="E1" s="14" t="s">
        <v>1145</v>
      </c>
      <c r="F1" s="14" t="s">
        <v>1139</v>
      </c>
    </row>
    <row r="2" spans="1:6" x14ac:dyDescent="0.3">
      <c r="A2" s="2" t="s">
        <v>836</v>
      </c>
      <c r="B2" s="2" t="s">
        <v>316</v>
      </c>
      <c r="C2" s="16">
        <f t="shared" ref="C2:C65" si="0">IF(B2="Yes",1,0)</f>
        <v>0</v>
      </c>
      <c r="D2" s="2" t="s">
        <v>322</v>
      </c>
      <c r="E2" s="17" t="s">
        <v>1140</v>
      </c>
      <c r="F2" s="2">
        <f t="shared" ref="F2:F65" si="1">IF(OR(E2="Low risk",E2="Medium risk"),0,1)</f>
        <v>1</v>
      </c>
    </row>
    <row r="3" spans="1:6" x14ac:dyDescent="0.3">
      <c r="A3" s="2" t="s">
        <v>807</v>
      </c>
      <c r="B3" s="2" t="s">
        <v>316</v>
      </c>
      <c r="C3" s="16">
        <f t="shared" si="0"/>
        <v>0</v>
      </c>
      <c r="D3" s="2" t="s">
        <v>316</v>
      </c>
      <c r="E3" s="17" t="s">
        <v>1141</v>
      </c>
      <c r="F3" s="2">
        <f t="shared" si="1"/>
        <v>0</v>
      </c>
    </row>
    <row r="4" spans="1:6" x14ac:dyDescent="0.3">
      <c r="A4" s="2" t="s">
        <v>726</v>
      </c>
      <c r="B4" s="2" t="s">
        <v>316</v>
      </c>
      <c r="C4" s="16">
        <f t="shared" si="0"/>
        <v>0</v>
      </c>
      <c r="D4" s="2" t="s">
        <v>322</v>
      </c>
      <c r="E4" s="17" t="s">
        <v>1140</v>
      </c>
      <c r="F4" s="2">
        <f t="shared" si="1"/>
        <v>1</v>
      </c>
    </row>
    <row r="5" spans="1:6" x14ac:dyDescent="0.3">
      <c r="A5" s="2" t="s">
        <v>808</v>
      </c>
      <c r="B5" s="2" t="s">
        <v>316</v>
      </c>
      <c r="C5" s="16">
        <f t="shared" si="0"/>
        <v>0</v>
      </c>
      <c r="D5" s="2" t="s">
        <v>322</v>
      </c>
      <c r="E5" s="17" t="s">
        <v>1140</v>
      </c>
      <c r="F5" s="2">
        <f t="shared" si="1"/>
        <v>1</v>
      </c>
    </row>
    <row r="6" spans="1:6" x14ac:dyDescent="0.3">
      <c r="A6" s="2" t="s">
        <v>714</v>
      </c>
      <c r="B6" s="2" t="s">
        <v>316</v>
      </c>
      <c r="C6" s="16">
        <f t="shared" si="0"/>
        <v>0</v>
      </c>
      <c r="D6" s="2" t="s">
        <v>316</v>
      </c>
      <c r="E6" s="17" t="s">
        <v>1141</v>
      </c>
      <c r="F6" s="2">
        <f t="shared" si="1"/>
        <v>0</v>
      </c>
    </row>
    <row r="7" spans="1:6" x14ac:dyDescent="0.3">
      <c r="A7" s="2" t="s">
        <v>1109</v>
      </c>
      <c r="B7" s="2" t="s">
        <v>316</v>
      </c>
      <c r="C7" s="16">
        <f t="shared" si="0"/>
        <v>0</v>
      </c>
      <c r="D7" s="2" t="s">
        <v>321</v>
      </c>
      <c r="E7" s="17" t="s">
        <v>1142</v>
      </c>
      <c r="F7" s="2">
        <f t="shared" si="1"/>
        <v>0</v>
      </c>
    </row>
    <row r="8" spans="1:6" x14ac:dyDescent="0.3">
      <c r="A8" s="2" t="s">
        <v>735</v>
      </c>
      <c r="B8" s="2" t="s">
        <v>316</v>
      </c>
      <c r="C8" s="16">
        <f t="shared" si="0"/>
        <v>0</v>
      </c>
      <c r="D8" s="2" t="s">
        <v>321</v>
      </c>
      <c r="E8" s="17" t="s">
        <v>1142</v>
      </c>
      <c r="F8" s="2">
        <f t="shared" si="1"/>
        <v>0</v>
      </c>
    </row>
    <row r="9" spans="1:6" x14ac:dyDescent="0.3">
      <c r="A9" s="2" t="s">
        <v>150</v>
      </c>
      <c r="B9" s="2" t="s">
        <v>316</v>
      </c>
      <c r="C9" s="16">
        <f t="shared" si="0"/>
        <v>0</v>
      </c>
      <c r="D9" s="2" t="s">
        <v>322</v>
      </c>
      <c r="E9" s="17" t="s">
        <v>1140</v>
      </c>
      <c r="F9" s="2">
        <f t="shared" si="1"/>
        <v>1</v>
      </c>
    </row>
    <row r="10" spans="1:6" x14ac:dyDescent="0.3">
      <c r="A10" s="2" t="s">
        <v>858</v>
      </c>
      <c r="B10" s="2" t="s">
        <v>316</v>
      </c>
      <c r="C10" s="16">
        <f t="shared" si="0"/>
        <v>0</v>
      </c>
      <c r="D10" s="2" t="s">
        <v>322</v>
      </c>
      <c r="E10" s="17" t="s">
        <v>1140</v>
      </c>
      <c r="F10" s="2">
        <f t="shared" si="1"/>
        <v>1</v>
      </c>
    </row>
    <row r="11" spans="1:6" x14ac:dyDescent="0.3">
      <c r="A11" s="2" t="s">
        <v>781</v>
      </c>
      <c r="B11" s="2" t="s">
        <v>316</v>
      </c>
      <c r="C11" s="16">
        <f t="shared" si="0"/>
        <v>0</v>
      </c>
      <c r="D11" s="2" t="s">
        <v>322</v>
      </c>
      <c r="E11" s="17" t="s">
        <v>1140</v>
      </c>
      <c r="F11" s="2">
        <f t="shared" si="1"/>
        <v>1</v>
      </c>
    </row>
    <row r="12" spans="1:6" x14ac:dyDescent="0.3">
      <c r="A12" s="2" t="s">
        <v>154</v>
      </c>
      <c r="B12" s="2" t="s">
        <v>316</v>
      </c>
      <c r="C12" s="16">
        <f t="shared" si="0"/>
        <v>0</v>
      </c>
      <c r="D12" s="2" t="s">
        <v>322</v>
      </c>
      <c r="E12" s="17" t="s">
        <v>1140</v>
      </c>
      <c r="F12" s="2">
        <f t="shared" si="1"/>
        <v>1</v>
      </c>
    </row>
    <row r="13" spans="1:6" x14ac:dyDescent="0.3">
      <c r="A13" s="2" t="s">
        <v>190</v>
      </c>
      <c r="B13" s="2" t="s">
        <v>316</v>
      </c>
      <c r="C13" s="16">
        <f t="shared" si="0"/>
        <v>0</v>
      </c>
      <c r="D13" s="2" t="s">
        <v>321</v>
      </c>
      <c r="E13" s="17" t="s">
        <v>1142</v>
      </c>
      <c r="F13" s="2">
        <f t="shared" si="1"/>
        <v>0</v>
      </c>
    </row>
    <row r="14" spans="1:6" x14ac:dyDescent="0.3">
      <c r="A14" s="2" t="s">
        <v>1111</v>
      </c>
      <c r="B14" s="2" t="s">
        <v>316</v>
      </c>
      <c r="C14" s="16">
        <f t="shared" si="0"/>
        <v>0</v>
      </c>
      <c r="D14" s="2" t="s">
        <v>321</v>
      </c>
      <c r="E14" s="17" t="s">
        <v>1142</v>
      </c>
      <c r="F14" s="2">
        <f t="shared" si="1"/>
        <v>0</v>
      </c>
    </row>
    <row r="15" spans="1:6" x14ac:dyDescent="0.3">
      <c r="A15" s="2" t="s">
        <v>933</v>
      </c>
      <c r="B15" s="2" t="s">
        <v>316</v>
      </c>
      <c r="C15" s="16">
        <f t="shared" si="0"/>
        <v>0</v>
      </c>
      <c r="D15" s="2" t="s">
        <v>316</v>
      </c>
      <c r="E15" s="17" t="s">
        <v>1141</v>
      </c>
      <c r="F15" s="2">
        <f t="shared" si="1"/>
        <v>0</v>
      </c>
    </row>
    <row r="16" spans="1:6" x14ac:dyDescent="0.3">
      <c r="A16" s="2" t="s">
        <v>922</v>
      </c>
      <c r="B16" s="2" t="s">
        <v>316</v>
      </c>
      <c r="C16" s="16">
        <f t="shared" si="0"/>
        <v>0</v>
      </c>
      <c r="D16" s="2" t="s">
        <v>316</v>
      </c>
      <c r="E16" s="17" t="s">
        <v>1141</v>
      </c>
      <c r="F16" s="2">
        <f t="shared" si="1"/>
        <v>0</v>
      </c>
    </row>
    <row r="17" spans="1:6" x14ac:dyDescent="0.3">
      <c r="A17" s="2" t="s">
        <v>930</v>
      </c>
      <c r="B17" s="2" t="s">
        <v>316</v>
      </c>
      <c r="C17" s="16">
        <f t="shared" si="0"/>
        <v>0</v>
      </c>
      <c r="D17" s="2" t="s">
        <v>321</v>
      </c>
      <c r="E17" s="17" t="s">
        <v>1142</v>
      </c>
      <c r="F17" s="2">
        <f t="shared" si="1"/>
        <v>0</v>
      </c>
    </row>
    <row r="18" spans="1:6" x14ac:dyDescent="0.3">
      <c r="A18" s="2" t="s">
        <v>215</v>
      </c>
      <c r="B18" s="2" t="s">
        <v>316</v>
      </c>
      <c r="C18" s="16">
        <f t="shared" si="0"/>
        <v>0</v>
      </c>
      <c r="D18" s="2" t="s">
        <v>321</v>
      </c>
      <c r="E18" s="17" t="s">
        <v>1142</v>
      </c>
      <c r="F18" s="2">
        <f t="shared" si="1"/>
        <v>0</v>
      </c>
    </row>
    <row r="19" spans="1:6" x14ac:dyDescent="0.3">
      <c r="A19" s="2" t="s">
        <v>188</v>
      </c>
      <c r="B19" s="2" t="s">
        <v>316</v>
      </c>
      <c r="C19" s="16">
        <f t="shared" si="0"/>
        <v>0</v>
      </c>
      <c r="D19" s="2" t="s">
        <v>316</v>
      </c>
      <c r="E19" s="17" t="s">
        <v>1141</v>
      </c>
      <c r="F19" s="2">
        <f t="shared" si="1"/>
        <v>0</v>
      </c>
    </row>
    <row r="20" spans="1:6" x14ac:dyDescent="0.3">
      <c r="A20" s="2" t="s">
        <v>817</v>
      </c>
      <c r="B20" s="2" t="s">
        <v>316</v>
      </c>
      <c r="C20" s="16">
        <f t="shared" si="0"/>
        <v>0</v>
      </c>
      <c r="D20" s="2" t="s">
        <v>322</v>
      </c>
      <c r="E20" s="17" t="s">
        <v>1140</v>
      </c>
      <c r="F20" s="2">
        <f t="shared" si="1"/>
        <v>1</v>
      </c>
    </row>
    <row r="21" spans="1:6" x14ac:dyDescent="0.3">
      <c r="A21" s="2" t="s">
        <v>939</v>
      </c>
      <c r="B21" s="2" t="s">
        <v>316</v>
      </c>
      <c r="C21" s="16">
        <f t="shared" si="0"/>
        <v>0</v>
      </c>
      <c r="D21" s="2" t="s">
        <v>321</v>
      </c>
      <c r="E21" s="17" t="s">
        <v>1142</v>
      </c>
      <c r="F21" s="2">
        <f t="shared" si="1"/>
        <v>0</v>
      </c>
    </row>
    <row r="22" spans="1:6" x14ac:dyDescent="0.3">
      <c r="A22" s="2" t="s">
        <v>670</v>
      </c>
      <c r="B22" s="2" t="s">
        <v>316</v>
      </c>
      <c r="C22" s="16">
        <f t="shared" si="0"/>
        <v>0</v>
      </c>
      <c r="D22" s="2" t="s">
        <v>322</v>
      </c>
      <c r="E22" s="17" t="s">
        <v>1140</v>
      </c>
      <c r="F22" s="2">
        <f t="shared" si="1"/>
        <v>1</v>
      </c>
    </row>
    <row r="23" spans="1:6" x14ac:dyDescent="0.3">
      <c r="A23" s="2" t="s">
        <v>740</v>
      </c>
      <c r="B23" s="2" t="s">
        <v>316</v>
      </c>
      <c r="C23" s="16">
        <f t="shared" si="0"/>
        <v>0</v>
      </c>
      <c r="D23" s="2" t="s">
        <v>322</v>
      </c>
      <c r="E23" s="17" t="s">
        <v>1140</v>
      </c>
      <c r="F23" s="2">
        <f t="shared" si="1"/>
        <v>1</v>
      </c>
    </row>
    <row r="24" spans="1:6" x14ac:dyDescent="0.3">
      <c r="A24" s="2" t="s">
        <v>935</v>
      </c>
      <c r="B24" s="2" t="s">
        <v>316</v>
      </c>
      <c r="C24" s="16">
        <f t="shared" si="0"/>
        <v>0</v>
      </c>
      <c r="D24" s="2" t="s">
        <v>316</v>
      </c>
      <c r="E24" s="17" t="s">
        <v>1141</v>
      </c>
      <c r="F24" s="2">
        <f t="shared" si="1"/>
        <v>0</v>
      </c>
    </row>
    <row r="25" spans="1:6" x14ac:dyDescent="0.3">
      <c r="A25" s="2" t="s">
        <v>660</v>
      </c>
      <c r="B25" s="2" t="s">
        <v>316</v>
      </c>
      <c r="C25" s="16">
        <f t="shared" si="0"/>
        <v>0</v>
      </c>
      <c r="D25" s="2" t="s">
        <v>321</v>
      </c>
      <c r="E25" s="17" t="s">
        <v>1142</v>
      </c>
      <c r="F25" s="2">
        <f t="shared" si="1"/>
        <v>0</v>
      </c>
    </row>
    <row r="26" spans="1:6" x14ac:dyDescent="0.3">
      <c r="A26" s="2" t="s">
        <v>822</v>
      </c>
      <c r="B26" s="2" t="s">
        <v>316</v>
      </c>
      <c r="C26" s="16">
        <f t="shared" si="0"/>
        <v>0</v>
      </c>
      <c r="D26" s="2" t="s">
        <v>316</v>
      </c>
      <c r="E26" s="17" t="s">
        <v>1141</v>
      </c>
      <c r="F26" s="2">
        <f t="shared" si="1"/>
        <v>0</v>
      </c>
    </row>
    <row r="27" spans="1:6" x14ac:dyDescent="0.3">
      <c r="A27" s="2" t="s">
        <v>674</v>
      </c>
      <c r="B27" s="2" t="s">
        <v>316</v>
      </c>
      <c r="C27" s="16">
        <f t="shared" si="0"/>
        <v>0</v>
      </c>
      <c r="D27" s="2" t="s">
        <v>322</v>
      </c>
      <c r="E27" s="17" t="s">
        <v>1140</v>
      </c>
      <c r="F27" s="2">
        <f t="shared" si="1"/>
        <v>1</v>
      </c>
    </row>
    <row r="28" spans="1:6" x14ac:dyDescent="0.3">
      <c r="A28" s="2" t="s">
        <v>752</v>
      </c>
      <c r="B28" s="2" t="s">
        <v>316</v>
      </c>
      <c r="C28" s="16">
        <f t="shared" si="0"/>
        <v>0</v>
      </c>
      <c r="D28" s="2" t="s">
        <v>322</v>
      </c>
      <c r="E28" s="17" t="s">
        <v>1140</v>
      </c>
      <c r="F28" s="2">
        <f t="shared" si="1"/>
        <v>1</v>
      </c>
    </row>
    <row r="29" spans="1:6" x14ac:dyDescent="0.3">
      <c r="A29" s="2" t="s">
        <v>920</v>
      </c>
      <c r="B29" s="2" t="s">
        <v>316</v>
      </c>
      <c r="C29" s="16">
        <f t="shared" si="0"/>
        <v>0</v>
      </c>
      <c r="D29" s="2" t="s">
        <v>322</v>
      </c>
      <c r="E29" s="17" t="s">
        <v>1140</v>
      </c>
      <c r="F29" s="2">
        <f t="shared" si="1"/>
        <v>1</v>
      </c>
    </row>
    <row r="30" spans="1:6" x14ac:dyDescent="0.3">
      <c r="A30" s="2" t="s">
        <v>881</v>
      </c>
      <c r="B30" s="2" t="s">
        <v>316</v>
      </c>
      <c r="C30" s="16">
        <f t="shared" si="0"/>
        <v>0</v>
      </c>
      <c r="D30" s="2" t="s">
        <v>316</v>
      </c>
      <c r="E30" s="17" t="s">
        <v>1141</v>
      </c>
      <c r="F30" s="2">
        <f t="shared" si="1"/>
        <v>0</v>
      </c>
    </row>
    <row r="31" spans="1:6" x14ac:dyDescent="0.3">
      <c r="A31" s="2" t="s">
        <v>163</v>
      </c>
      <c r="B31" s="2" t="s">
        <v>316</v>
      </c>
      <c r="C31" s="16">
        <f t="shared" si="0"/>
        <v>0</v>
      </c>
      <c r="D31" s="2" t="s">
        <v>322</v>
      </c>
      <c r="E31" s="17" t="s">
        <v>1140</v>
      </c>
      <c r="F31" s="2">
        <f t="shared" si="1"/>
        <v>1</v>
      </c>
    </row>
    <row r="32" spans="1:6" x14ac:dyDescent="0.3">
      <c r="A32" s="2" t="s">
        <v>919</v>
      </c>
      <c r="B32" s="2" t="s">
        <v>316</v>
      </c>
      <c r="C32" s="16">
        <f t="shared" si="0"/>
        <v>0</v>
      </c>
      <c r="D32" s="2" t="s">
        <v>316</v>
      </c>
      <c r="E32" s="17" t="s">
        <v>1141</v>
      </c>
      <c r="F32" s="2">
        <f t="shared" si="1"/>
        <v>0</v>
      </c>
    </row>
    <row r="33" spans="1:6" x14ac:dyDescent="0.3">
      <c r="A33" s="2" t="s">
        <v>893</v>
      </c>
      <c r="B33" s="2" t="s">
        <v>316</v>
      </c>
      <c r="C33" s="16">
        <f t="shared" si="0"/>
        <v>0</v>
      </c>
      <c r="D33" s="2" t="s">
        <v>321</v>
      </c>
      <c r="E33" s="17" t="s">
        <v>1142</v>
      </c>
      <c r="F33" s="2">
        <f t="shared" si="1"/>
        <v>0</v>
      </c>
    </row>
    <row r="34" spans="1:6" x14ac:dyDescent="0.3">
      <c r="A34" s="2" t="s">
        <v>228</v>
      </c>
      <c r="B34" s="2" t="s">
        <v>316</v>
      </c>
      <c r="C34" s="16">
        <f t="shared" si="0"/>
        <v>0</v>
      </c>
      <c r="D34" s="2" t="s">
        <v>321</v>
      </c>
      <c r="E34" s="17" t="s">
        <v>1142</v>
      </c>
      <c r="F34" s="2">
        <f t="shared" si="1"/>
        <v>0</v>
      </c>
    </row>
    <row r="35" spans="1:6" x14ac:dyDescent="0.3">
      <c r="A35" s="2" t="s">
        <v>791</v>
      </c>
      <c r="B35" s="2" t="s">
        <v>316</v>
      </c>
      <c r="C35" s="16">
        <f t="shared" si="0"/>
        <v>0</v>
      </c>
      <c r="D35" s="2" t="s">
        <v>321</v>
      </c>
      <c r="E35" s="17" t="s">
        <v>1142</v>
      </c>
      <c r="F35" s="2">
        <f t="shared" si="1"/>
        <v>0</v>
      </c>
    </row>
    <row r="36" spans="1:6" x14ac:dyDescent="0.3">
      <c r="A36" s="2" t="s">
        <v>945</v>
      </c>
      <c r="B36" s="2" t="s">
        <v>316</v>
      </c>
      <c r="C36" s="16">
        <f t="shared" si="0"/>
        <v>0</v>
      </c>
      <c r="D36" s="2" t="s">
        <v>321</v>
      </c>
      <c r="E36" s="17" t="s">
        <v>1142</v>
      </c>
      <c r="F36" s="2">
        <f t="shared" si="1"/>
        <v>0</v>
      </c>
    </row>
    <row r="37" spans="1:6" x14ac:dyDescent="0.3">
      <c r="A37" s="2" t="s">
        <v>709</v>
      </c>
      <c r="B37" s="2" t="s">
        <v>316</v>
      </c>
      <c r="C37" s="16">
        <f t="shared" si="0"/>
        <v>0</v>
      </c>
      <c r="D37" s="2" t="s">
        <v>322</v>
      </c>
      <c r="E37" s="17" t="s">
        <v>1140</v>
      </c>
      <c r="F37" s="2">
        <f t="shared" si="1"/>
        <v>1</v>
      </c>
    </row>
    <row r="38" spans="1:6" x14ac:dyDescent="0.3">
      <c r="A38" s="2" t="s">
        <v>683</v>
      </c>
      <c r="B38" s="2" t="s">
        <v>316</v>
      </c>
      <c r="C38" s="16">
        <f t="shared" si="0"/>
        <v>0</v>
      </c>
      <c r="D38" s="2" t="s">
        <v>321</v>
      </c>
      <c r="E38" s="17" t="s">
        <v>1142</v>
      </c>
      <c r="F38" s="2">
        <f t="shared" si="1"/>
        <v>0</v>
      </c>
    </row>
    <row r="39" spans="1:6" x14ac:dyDescent="0.3">
      <c r="A39" s="2" t="s">
        <v>783</v>
      </c>
      <c r="B39" s="2" t="s">
        <v>316</v>
      </c>
      <c r="C39" s="16">
        <f t="shared" si="0"/>
        <v>0</v>
      </c>
      <c r="D39" s="2" t="s">
        <v>321</v>
      </c>
      <c r="E39" s="17" t="s">
        <v>1142</v>
      </c>
      <c r="F39" s="2">
        <f t="shared" si="1"/>
        <v>0</v>
      </c>
    </row>
    <row r="40" spans="1:6" x14ac:dyDescent="0.3">
      <c r="A40" s="2" t="s">
        <v>711</v>
      </c>
      <c r="B40" s="2" t="s">
        <v>316</v>
      </c>
      <c r="C40" s="16">
        <f t="shared" si="0"/>
        <v>0</v>
      </c>
      <c r="D40" s="2" t="s">
        <v>316</v>
      </c>
      <c r="E40" s="17" t="s">
        <v>1141</v>
      </c>
      <c r="F40" s="2">
        <f t="shared" si="1"/>
        <v>0</v>
      </c>
    </row>
    <row r="41" spans="1:6" x14ac:dyDescent="0.3">
      <c r="A41" s="2" t="s">
        <v>149</v>
      </c>
      <c r="B41" s="2" t="s">
        <v>316</v>
      </c>
      <c r="C41" s="16">
        <f t="shared" si="0"/>
        <v>0</v>
      </c>
      <c r="D41" s="2" t="s">
        <v>321</v>
      </c>
      <c r="E41" s="17" t="s">
        <v>1142</v>
      </c>
      <c r="F41" s="2">
        <f t="shared" si="1"/>
        <v>0</v>
      </c>
    </row>
    <row r="42" spans="1:6" x14ac:dyDescent="0.3">
      <c r="A42" s="2" t="s">
        <v>132</v>
      </c>
      <c r="B42" s="2" t="s">
        <v>316</v>
      </c>
      <c r="C42" s="16">
        <f t="shared" si="0"/>
        <v>0</v>
      </c>
      <c r="D42" s="2" t="s">
        <v>321</v>
      </c>
      <c r="E42" s="17" t="s">
        <v>1142</v>
      </c>
      <c r="F42" s="2">
        <f t="shared" si="1"/>
        <v>0</v>
      </c>
    </row>
    <row r="43" spans="1:6" x14ac:dyDescent="0.3">
      <c r="A43" s="2" t="s">
        <v>846</v>
      </c>
      <c r="B43" s="2" t="s">
        <v>316</v>
      </c>
      <c r="C43" s="16">
        <f t="shared" si="0"/>
        <v>0</v>
      </c>
      <c r="D43" s="2" t="s">
        <v>322</v>
      </c>
      <c r="E43" s="17" t="s">
        <v>1140</v>
      </c>
      <c r="F43" s="2">
        <f t="shared" si="1"/>
        <v>1</v>
      </c>
    </row>
    <row r="44" spans="1:6" x14ac:dyDescent="0.3">
      <c r="A44" s="2" t="s">
        <v>680</v>
      </c>
      <c r="B44" s="2" t="s">
        <v>316</v>
      </c>
      <c r="C44" s="16">
        <f t="shared" si="0"/>
        <v>0</v>
      </c>
      <c r="D44" s="2" t="s">
        <v>322</v>
      </c>
      <c r="E44" s="17" t="s">
        <v>1140</v>
      </c>
      <c r="F44" s="2">
        <f t="shared" si="1"/>
        <v>1</v>
      </c>
    </row>
    <row r="45" spans="1:6" x14ac:dyDescent="0.3">
      <c r="A45" s="2" t="s">
        <v>222</v>
      </c>
      <c r="B45" s="2" t="s">
        <v>316</v>
      </c>
      <c r="C45" s="16">
        <f t="shared" si="0"/>
        <v>0</v>
      </c>
      <c r="D45" s="2" t="s">
        <v>316</v>
      </c>
      <c r="E45" s="17" t="s">
        <v>1141</v>
      </c>
      <c r="F45" s="2">
        <f t="shared" si="1"/>
        <v>0</v>
      </c>
    </row>
    <row r="46" spans="1:6" x14ac:dyDescent="0.3">
      <c r="A46" s="2" t="s">
        <v>220</v>
      </c>
      <c r="B46" s="2" t="s">
        <v>316</v>
      </c>
      <c r="C46" s="16">
        <f t="shared" si="0"/>
        <v>0</v>
      </c>
      <c r="D46" s="2" t="s">
        <v>322</v>
      </c>
      <c r="E46" s="17" t="s">
        <v>1140</v>
      </c>
      <c r="F46" s="2">
        <f t="shared" si="1"/>
        <v>1</v>
      </c>
    </row>
    <row r="47" spans="1:6" x14ac:dyDescent="0.3">
      <c r="A47" s="2" t="s">
        <v>861</v>
      </c>
      <c r="B47" s="2" t="s">
        <v>316</v>
      </c>
      <c r="C47" s="16">
        <f t="shared" si="0"/>
        <v>0</v>
      </c>
      <c r="D47" s="2" t="s">
        <v>322</v>
      </c>
      <c r="E47" s="17" t="s">
        <v>1140</v>
      </c>
      <c r="F47" s="2">
        <f t="shared" si="1"/>
        <v>1</v>
      </c>
    </row>
    <row r="48" spans="1:6" x14ac:dyDescent="0.3">
      <c r="A48" s="2" t="s">
        <v>214</v>
      </c>
      <c r="B48" s="2" t="s">
        <v>316</v>
      </c>
      <c r="C48" s="16">
        <f t="shared" si="0"/>
        <v>0</v>
      </c>
      <c r="D48" s="2" t="s">
        <v>316</v>
      </c>
      <c r="E48" s="17" t="s">
        <v>1141</v>
      </c>
      <c r="F48" s="2">
        <f t="shared" si="1"/>
        <v>0</v>
      </c>
    </row>
    <row r="49" spans="1:6" x14ac:dyDescent="0.3">
      <c r="A49" s="2" t="s">
        <v>186</v>
      </c>
      <c r="B49" s="2" t="s">
        <v>316</v>
      </c>
      <c r="C49" s="16">
        <f t="shared" si="0"/>
        <v>0</v>
      </c>
      <c r="D49" s="2" t="s">
        <v>322</v>
      </c>
      <c r="E49" s="17" t="s">
        <v>1140</v>
      </c>
      <c r="F49" s="2">
        <f t="shared" si="1"/>
        <v>1</v>
      </c>
    </row>
    <row r="50" spans="1:6" x14ac:dyDescent="0.3">
      <c r="A50" s="2" t="s">
        <v>792</v>
      </c>
      <c r="B50" s="2" t="s">
        <v>316</v>
      </c>
      <c r="C50" s="16">
        <f t="shared" si="0"/>
        <v>0</v>
      </c>
      <c r="D50" s="2" t="s">
        <v>316</v>
      </c>
      <c r="E50" s="17" t="s">
        <v>1141</v>
      </c>
      <c r="F50" s="2">
        <f t="shared" si="1"/>
        <v>0</v>
      </c>
    </row>
    <row r="51" spans="1:6" x14ac:dyDescent="0.3">
      <c r="A51" s="2" t="s">
        <v>217</v>
      </c>
      <c r="B51" s="2" t="s">
        <v>316</v>
      </c>
      <c r="C51" s="16">
        <f t="shared" si="0"/>
        <v>0</v>
      </c>
      <c r="D51" s="2" t="s">
        <v>321</v>
      </c>
      <c r="E51" s="17" t="s">
        <v>1142</v>
      </c>
      <c r="F51" s="2">
        <f t="shared" si="1"/>
        <v>0</v>
      </c>
    </row>
    <row r="52" spans="1:6" x14ac:dyDescent="0.3">
      <c r="A52" s="2" t="s">
        <v>703</v>
      </c>
      <c r="B52" s="2" t="s">
        <v>316</v>
      </c>
      <c r="C52" s="16">
        <f t="shared" si="0"/>
        <v>0</v>
      </c>
      <c r="D52" s="2" t="s">
        <v>322</v>
      </c>
      <c r="E52" s="17" t="s">
        <v>1140</v>
      </c>
      <c r="F52" s="2">
        <f t="shared" si="1"/>
        <v>1</v>
      </c>
    </row>
    <row r="53" spans="1:6" x14ac:dyDescent="0.3">
      <c r="A53" s="2" t="s">
        <v>867</v>
      </c>
      <c r="B53" s="2" t="s">
        <v>316</v>
      </c>
      <c r="C53" s="16">
        <f t="shared" si="0"/>
        <v>0</v>
      </c>
      <c r="D53" s="2" t="s">
        <v>322</v>
      </c>
      <c r="E53" s="17" t="s">
        <v>1140</v>
      </c>
      <c r="F53" s="2">
        <f t="shared" si="1"/>
        <v>1</v>
      </c>
    </row>
    <row r="54" spans="1:6" x14ac:dyDescent="0.3">
      <c r="A54" s="2" t="s">
        <v>904</v>
      </c>
      <c r="B54" s="2" t="s">
        <v>316</v>
      </c>
      <c r="C54" s="16">
        <f t="shared" si="0"/>
        <v>0</v>
      </c>
      <c r="D54" s="2" t="s">
        <v>316</v>
      </c>
      <c r="E54" s="17" t="s">
        <v>1141</v>
      </c>
      <c r="F54" s="2">
        <f t="shared" si="1"/>
        <v>0</v>
      </c>
    </row>
    <row r="55" spans="1:6" x14ac:dyDescent="0.3">
      <c r="A55" s="2" t="s">
        <v>884</v>
      </c>
      <c r="B55" s="2" t="s">
        <v>316</v>
      </c>
      <c r="C55" s="16">
        <f t="shared" si="0"/>
        <v>0</v>
      </c>
      <c r="D55" s="2" t="s">
        <v>316</v>
      </c>
      <c r="E55" s="17" t="s">
        <v>1141</v>
      </c>
      <c r="F55" s="2">
        <f t="shared" si="1"/>
        <v>0</v>
      </c>
    </row>
    <row r="56" spans="1:6" x14ac:dyDescent="0.3">
      <c r="A56" s="2" t="s">
        <v>681</v>
      </c>
      <c r="B56" s="2" t="s">
        <v>316</v>
      </c>
      <c r="C56" s="16">
        <f t="shared" si="0"/>
        <v>0</v>
      </c>
      <c r="D56" s="2" t="s">
        <v>316</v>
      </c>
      <c r="E56" s="17" t="s">
        <v>1141</v>
      </c>
      <c r="F56" s="2">
        <f t="shared" si="1"/>
        <v>0</v>
      </c>
    </row>
    <row r="57" spans="1:6" x14ac:dyDescent="0.3">
      <c r="A57" s="2" t="s">
        <v>828</v>
      </c>
      <c r="B57" s="2" t="s">
        <v>316</v>
      </c>
      <c r="C57" s="16">
        <f t="shared" si="0"/>
        <v>0</v>
      </c>
      <c r="D57" s="2" t="s">
        <v>316</v>
      </c>
      <c r="E57" s="17" t="s">
        <v>1141</v>
      </c>
      <c r="F57" s="2">
        <f t="shared" si="1"/>
        <v>0</v>
      </c>
    </row>
    <row r="58" spans="1:6" x14ac:dyDescent="0.3">
      <c r="A58" s="2" t="s">
        <v>697</v>
      </c>
      <c r="B58" s="2" t="s">
        <v>316</v>
      </c>
      <c r="C58" s="16">
        <f t="shared" si="0"/>
        <v>0</v>
      </c>
      <c r="D58" s="2" t="s">
        <v>321</v>
      </c>
      <c r="E58" s="17" t="s">
        <v>1142</v>
      </c>
      <c r="F58" s="2">
        <f t="shared" si="1"/>
        <v>0</v>
      </c>
    </row>
    <row r="59" spans="1:6" x14ac:dyDescent="0.3">
      <c r="A59" s="2" t="s">
        <v>665</v>
      </c>
      <c r="B59" s="2" t="s">
        <v>316</v>
      </c>
      <c r="C59" s="16">
        <f t="shared" si="0"/>
        <v>0</v>
      </c>
      <c r="D59" s="2" t="s">
        <v>316</v>
      </c>
      <c r="E59" s="17" t="s">
        <v>1141</v>
      </c>
      <c r="F59" s="2">
        <f t="shared" si="1"/>
        <v>0</v>
      </c>
    </row>
    <row r="60" spans="1:6" x14ac:dyDescent="0.3">
      <c r="A60" s="2" t="s">
        <v>663</v>
      </c>
      <c r="B60" s="2" t="s">
        <v>316</v>
      </c>
      <c r="C60" s="16">
        <f t="shared" si="0"/>
        <v>0</v>
      </c>
      <c r="D60" s="2" t="s">
        <v>1095</v>
      </c>
      <c r="E60" s="17" t="s">
        <v>1144</v>
      </c>
      <c r="F60" s="2">
        <f t="shared" si="1"/>
        <v>1</v>
      </c>
    </row>
    <row r="61" spans="1:6" x14ac:dyDescent="0.3">
      <c r="A61" s="2" t="s">
        <v>914</v>
      </c>
      <c r="B61" s="2" t="s">
        <v>316</v>
      </c>
      <c r="C61" s="16">
        <f t="shared" si="0"/>
        <v>0</v>
      </c>
      <c r="D61" s="2" t="s">
        <v>321</v>
      </c>
      <c r="E61" s="17" t="s">
        <v>1142</v>
      </c>
      <c r="F61" s="2">
        <f t="shared" si="1"/>
        <v>0</v>
      </c>
    </row>
    <row r="62" spans="1:6" x14ac:dyDescent="0.3">
      <c r="A62" s="2" t="s">
        <v>787</v>
      </c>
      <c r="B62" s="2" t="s">
        <v>316</v>
      </c>
      <c r="C62" s="16">
        <f t="shared" si="0"/>
        <v>0</v>
      </c>
      <c r="D62" s="2" t="s">
        <v>315</v>
      </c>
      <c r="E62" s="17" t="s">
        <v>1143</v>
      </c>
      <c r="F62" s="2">
        <f t="shared" si="1"/>
        <v>1</v>
      </c>
    </row>
    <row r="63" spans="1:6" x14ac:dyDescent="0.3">
      <c r="A63" s="2" t="s">
        <v>180</v>
      </c>
      <c r="B63" s="2" t="s">
        <v>316</v>
      </c>
      <c r="C63" s="16">
        <f t="shared" si="0"/>
        <v>0</v>
      </c>
      <c r="D63" s="2" t="s">
        <v>1095</v>
      </c>
      <c r="E63" s="17" t="s">
        <v>1144</v>
      </c>
      <c r="F63" s="2">
        <f t="shared" si="1"/>
        <v>1</v>
      </c>
    </row>
    <row r="64" spans="1:6" x14ac:dyDescent="0.3">
      <c r="A64" s="2" t="s">
        <v>875</v>
      </c>
      <c r="B64" s="2" t="s">
        <v>316</v>
      </c>
      <c r="C64" s="16">
        <f t="shared" si="0"/>
        <v>0</v>
      </c>
      <c r="D64" s="2" t="s">
        <v>316</v>
      </c>
      <c r="E64" s="17" t="s">
        <v>1141</v>
      </c>
      <c r="F64" s="2">
        <f t="shared" si="1"/>
        <v>0</v>
      </c>
    </row>
    <row r="65" spans="1:6" x14ac:dyDescent="0.3">
      <c r="A65" s="2" t="s">
        <v>770</v>
      </c>
      <c r="B65" s="2" t="s">
        <v>316</v>
      </c>
      <c r="C65" s="16">
        <f t="shared" si="0"/>
        <v>0</v>
      </c>
      <c r="D65" s="2" t="s">
        <v>1095</v>
      </c>
      <c r="E65" s="17" t="s">
        <v>1144</v>
      </c>
      <c r="F65" s="2">
        <f t="shared" si="1"/>
        <v>1</v>
      </c>
    </row>
    <row r="66" spans="1:6" x14ac:dyDescent="0.3">
      <c r="A66" s="2" t="s">
        <v>809</v>
      </c>
      <c r="B66" s="2" t="s">
        <v>316</v>
      </c>
      <c r="C66" s="16">
        <f t="shared" ref="C66:C129" si="2">IF(B66="Yes",1,0)</f>
        <v>0</v>
      </c>
      <c r="D66" s="2" t="s">
        <v>315</v>
      </c>
      <c r="E66" s="17" t="s">
        <v>1143</v>
      </c>
      <c r="F66" s="2">
        <f t="shared" ref="F66:F129" si="3">IF(OR(E66="Low risk",E66="Medium risk"),0,1)</f>
        <v>1</v>
      </c>
    </row>
    <row r="67" spans="1:6" x14ac:dyDescent="0.3">
      <c r="A67" s="2" t="s">
        <v>1107</v>
      </c>
      <c r="B67" s="2" t="s">
        <v>316</v>
      </c>
      <c r="C67" s="16">
        <f t="shared" si="2"/>
        <v>0</v>
      </c>
      <c r="D67" s="2" t="s">
        <v>1095</v>
      </c>
      <c r="E67" s="17" t="s">
        <v>1144</v>
      </c>
      <c r="F67" s="2">
        <f t="shared" si="3"/>
        <v>1</v>
      </c>
    </row>
    <row r="68" spans="1:6" x14ac:dyDescent="0.3">
      <c r="A68" s="2" t="s">
        <v>923</v>
      </c>
      <c r="B68" s="2" t="s">
        <v>316</v>
      </c>
      <c r="C68" s="16">
        <f t="shared" si="2"/>
        <v>0</v>
      </c>
      <c r="D68" s="2" t="s">
        <v>316</v>
      </c>
      <c r="E68" s="17" t="s">
        <v>1141</v>
      </c>
      <c r="F68" s="2">
        <f t="shared" si="3"/>
        <v>0</v>
      </c>
    </row>
    <row r="69" spans="1:6" x14ac:dyDescent="0.3">
      <c r="A69" s="2" t="s">
        <v>161</v>
      </c>
      <c r="B69" s="2" t="s">
        <v>316</v>
      </c>
      <c r="C69" s="16">
        <f t="shared" si="2"/>
        <v>0</v>
      </c>
      <c r="D69" s="2" t="s">
        <v>315</v>
      </c>
      <c r="E69" s="17" t="s">
        <v>1143</v>
      </c>
      <c r="F69" s="2">
        <f t="shared" si="3"/>
        <v>1</v>
      </c>
    </row>
    <row r="70" spans="1:6" x14ac:dyDescent="0.3">
      <c r="A70" s="2" t="s">
        <v>178</v>
      </c>
      <c r="B70" s="2" t="s">
        <v>316</v>
      </c>
      <c r="C70" s="16">
        <f t="shared" si="2"/>
        <v>0</v>
      </c>
      <c r="D70" s="2" t="s">
        <v>321</v>
      </c>
      <c r="E70" s="17" t="s">
        <v>1142</v>
      </c>
      <c r="F70" s="2">
        <f t="shared" si="3"/>
        <v>0</v>
      </c>
    </row>
    <row r="71" spans="1:6" x14ac:dyDescent="0.3">
      <c r="A71" s="2" t="s">
        <v>921</v>
      </c>
      <c r="B71" s="2" t="s">
        <v>316</v>
      </c>
      <c r="C71" s="16">
        <f t="shared" si="2"/>
        <v>0</v>
      </c>
      <c r="D71" s="2" t="s">
        <v>1095</v>
      </c>
      <c r="E71" s="17" t="s">
        <v>1144</v>
      </c>
      <c r="F71" s="2">
        <f t="shared" si="3"/>
        <v>1</v>
      </c>
    </row>
    <row r="72" spans="1:6" x14ac:dyDescent="0.3">
      <c r="A72" s="2" t="s">
        <v>157</v>
      </c>
      <c r="B72" s="2" t="s">
        <v>316</v>
      </c>
      <c r="C72" s="16">
        <f t="shared" si="2"/>
        <v>0</v>
      </c>
      <c r="D72" s="2" t="s">
        <v>315</v>
      </c>
      <c r="E72" s="17" t="s">
        <v>1143</v>
      </c>
      <c r="F72" s="2">
        <f t="shared" si="3"/>
        <v>1</v>
      </c>
    </row>
    <row r="73" spans="1:6" x14ac:dyDescent="0.3">
      <c r="A73" s="2" t="s">
        <v>174</v>
      </c>
      <c r="B73" s="2" t="s">
        <v>316</v>
      </c>
      <c r="C73" s="16">
        <f t="shared" si="2"/>
        <v>0</v>
      </c>
      <c r="D73" s="2" t="s">
        <v>321</v>
      </c>
      <c r="E73" s="17" t="s">
        <v>1142</v>
      </c>
      <c r="F73" s="2">
        <f t="shared" si="3"/>
        <v>0</v>
      </c>
    </row>
    <row r="74" spans="1:6" x14ac:dyDescent="0.3">
      <c r="A74" s="2" t="s">
        <v>928</v>
      </c>
      <c r="B74" s="2" t="s">
        <v>316</v>
      </c>
      <c r="C74" s="16">
        <f t="shared" si="2"/>
        <v>0</v>
      </c>
      <c r="D74" s="2" t="s">
        <v>1095</v>
      </c>
      <c r="E74" s="17" t="s">
        <v>1144</v>
      </c>
      <c r="F74" s="2">
        <f t="shared" si="3"/>
        <v>1</v>
      </c>
    </row>
    <row r="75" spans="1:6" x14ac:dyDescent="0.3">
      <c r="A75" s="2" t="s">
        <v>864</v>
      </c>
      <c r="B75" s="2" t="s">
        <v>316</v>
      </c>
      <c r="C75" s="16">
        <f t="shared" si="2"/>
        <v>0</v>
      </c>
      <c r="D75" s="2" t="s">
        <v>316</v>
      </c>
      <c r="E75" s="17" t="s">
        <v>1141</v>
      </c>
      <c r="F75" s="2">
        <f t="shared" si="3"/>
        <v>0</v>
      </c>
    </row>
    <row r="76" spans="1:6" x14ac:dyDescent="0.3">
      <c r="A76" s="2" t="s">
        <v>721</v>
      </c>
      <c r="B76" s="2" t="s">
        <v>316</v>
      </c>
      <c r="C76" s="16">
        <f t="shared" si="2"/>
        <v>0</v>
      </c>
      <c r="D76" s="2" t="s">
        <v>315</v>
      </c>
      <c r="E76" s="17" t="s">
        <v>1143</v>
      </c>
      <c r="F76" s="2">
        <f t="shared" si="3"/>
        <v>1</v>
      </c>
    </row>
    <row r="77" spans="1:6" x14ac:dyDescent="0.3">
      <c r="A77" s="2" t="s">
        <v>723</v>
      </c>
      <c r="B77" s="2" t="s">
        <v>316</v>
      </c>
      <c r="C77" s="16">
        <f t="shared" si="2"/>
        <v>0</v>
      </c>
      <c r="D77" s="2" t="s">
        <v>1095</v>
      </c>
      <c r="E77" s="17" t="s">
        <v>1144</v>
      </c>
      <c r="F77" s="2">
        <f t="shared" si="3"/>
        <v>1</v>
      </c>
    </row>
    <row r="78" spans="1:6" x14ac:dyDescent="0.3">
      <c r="A78" s="2" t="s">
        <v>907</v>
      </c>
      <c r="B78" s="2" t="s">
        <v>316</v>
      </c>
      <c r="C78" s="16">
        <f t="shared" si="2"/>
        <v>0</v>
      </c>
      <c r="D78" s="2" t="s">
        <v>316</v>
      </c>
      <c r="E78" s="17" t="s">
        <v>1141</v>
      </c>
      <c r="F78" s="2">
        <f t="shared" si="3"/>
        <v>0</v>
      </c>
    </row>
    <row r="79" spans="1:6" x14ac:dyDescent="0.3">
      <c r="A79" s="2" t="s">
        <v>758</v>
      </c>
      <c r="B79" s="2" t="s">
        <v>316</v>
      </c>
      <c r="C79" s="16">
        <f t="shared" si="2"/>
        <v>0</v>
      </c>
      <c r="D79" s="2" t="s">
        <v>321</v>
      </c>
      <c r="E79" s="17" t="s">
        <v>1142</v>
      </c>
      <c r="F79" s="2">
        <f t="shared" si="3"/>
        <v>0</v>
      </c>
    </row>
    <row r="80" spans="1:6" x14ac:dyDescent="0.3">
      <c r="A80" s="2" t="s">
        <v>728</v>
      </c>
      <c r="B80" s="2" t="s">
        <v>316</v>
      </c>
      <c r="C80" s="16">
        <f t="shared" si="2"/>
        <v>0</v>
      </c>
      <c r="D80" s="2" t="s">
        <v>321</v>
      </c>
      <c r="E80" s="17" t="s">
        <v>1142</v>
      </c>
      <c r="F80" s="2">
        <f t="shared" si="3"/>
        <v>0</v>
      </c>
    </row>
    <row r="81" spans="1:6" x14ac:dyDescent="0.3">
      <c r="A81" s="2" t="s">
        <v>224</v>
      </c>
      <c r="B81" s="2" t="s">
        <v>316</v>
      </c>
      <c r="C81" s="16">
        <f t="shared" si="2"/>
        <v>0</v>
      </c>
      <c r="D81" s="2" t="s">
        <v>321</v>
      </c>
      <c r="E81" s="17" t="s">
        <v>1142</v>
      </c>
      <c r="F81" s="2">
        <f t="shared" si="3"/>
        <v>0</v>
      </c>
    </row>
    <row r="82" spans="1:6" x14ac:dyDescent="0.3">
      <c r="A82" s="2" t="s">
        <v>903</v>
      </c>
      <c r="B82" s="2" t="s">
        <v>316</v>
      </c>
      <c r="C82" s="16">
        <f t="shared" si="2"/>
        <v>0</v>
      </c>
      <c r="D82" s="2" t="s">
        <v>316</v>
      </c>
      <c r="E82" s="17" t="s">
        <v>1141</v>
      </c>
      <c r="F82" s="2">
        <f t="shared" si="3"/>
        <v>0</v>
      </c>
    </row>
    <row r="83" spans="1:6" x14ac:dyDescent="0.3">
      <c r="A83" s="2" t="s">
        <v>806</v>
      </c>
      <c r="B83" s="2" t="s">
        <v>316</v>
      </c>
      <c r="C83" s="16">
        <f t="shared" si="2"/>
        <v>0</v>
      </c>
      <c r="D83" s="2" t="s">
        <v>321</v>
      </c>
      <c r="E83" s="17" t="s">
        <v>1142</v>
      </c>
      <c r="F83" s="2">
        <f t="shared" si="3"/>
        <v>0</v>
      </c>
    </row>
    <row r="84" spans="1:6" x14ac:dyDescent="0.3">
      <c r="A84" s="2" t="s">
        <v>693</v>
      </c>
      <c r="B84" s="2" t="s">
        <v>316</v>
      </c>
      <c r="C84" s="16">
        <f t="shared" si="2"/>
        <v>0</v>
      </c>
      <c r="D84" s="2" t="s">
        <v>315</v>
      </c>
      <c r="E84" s="17" t="s">
        <v>1143</v>
      </c>
      <c r="F84" s="2">
        <f t="shared" si="3"/>
        <v>1</v>
      </c>
    </row>
    <row r="85" spans="1:6" x14ac:dyDescent="0.3">
      <c r="A85" s="2" t="s">
        <v>827</v>
      </c>
      <c r="B85" s="2" t="s">
        <v>316</v>
      </c>
      <c r="C85" s="16">
        <f t="shared" si="2"/>
        <v>0</v>
      </c>
      <c r="D85" s="2" t="s">
        <v>316</v>
      </c>
      <c r="E85" s="17" t="s">
        <v>1141</v>
      </c>
      <c r="F85" s="2">
        <f t="shared" si="3"/>
        <v>0</v>
      </c>
    </row>
    <row r="86" spans="1:6" x14ac:dyDescent="0.3">
      <c r="A86" s="2" t="s">
        <v>179</v>
      </c>
      <c r="B86" s="2" t="s">
        <v>316</v>
      </c>
      <c r="C86" s="16">
        <f t="shared" si="2"/>
        <v>0</v>
      </c>
      <c r="D86" s="2" t="s">
        <v>316</v>
      </c>
      <c r="E86" s="17" t="s">
        <v>1141</v>
      </c>
      <c r="F86" s="2">
        <f t="shared" si="3"/>
        <v>0</v>
      </c>
    </row>
    <row r="87" spans="1:6" x14ac:dyDescent="0.3">
      <c r="A87" s="2" t="s">
        <v>1112</v>
      </c>
      <c r="B87" s="2" t="s">
        <v>316</v>
      </c>
      <c r="C87" s="16">
        <f t="shared" si="2"/>
        <v>0</v>
      </c>
      <c r="D87" s="2" t="s">
        <v>316</v>
      </c>
      <c r="E87" s="17" t="s">
        <v>1141</v>
      </c>
      <c r="F87" s="2">
        <f t="shared" si="3"/>
        <v>0</v>
      </c>
    </row>
    <row r="88" spans="1:6" x14ac:dyDescent="0.3">
      <c r="A88" s="2" t="s">
        <v>910</v>
      </c>
      <c r="B88" s="2" t="s">
        <v>316</v>
      </c>
      <c r="C88" s="16">
        <f t="shared" si="2"/>
        <v>0</v>
      </c>
      <c r="D88" s="2" t="s">
        <v>316</v>
      </c>
      <c r="E88" s="17" t="s">
        <v>1141</v>
      </c>
      <c r="F88" s="2">
        <f t="shared" si="3"/>
        <v>0</v>
      </c>
    </row>
    <row r="89" spans="1:6" x14ac:dyDescent="0.3">
      <c r="A89" s="2" t="s">
        <v>905</v>
      </c>
      <c r="B89" s="2" t="s">
        <v>316</v>
      </c>
      <c r="C89" s="16">
        <f t="shared" si="2"/>
        <v>0</v>
      </c>
      <c r="D89" s="2" t="s">
        <v>315</v>
      </c>
      <c r="E89" s="17" t="s">
        <v>1143</v>
      </c>
      <c r="F89" s="2">
        <f t="shared" si="3"/>
        <v>1</v>
      </c>
    </row>
    <row r="90" spans="1:6" x14ac:dyDescent="0.3">
      <c r="A90" s="2" t="s">
        <v>692</v>
      </c>
      <c r="B90" s="2" t="s">
        <v>316</v>
      </c>
      <c r="C90" s="16">
        <f t="shared" si="2"/>
        <v>0</v>
      </c>
      <c r="D90" s="2" t="s">
        <v>315</v>
      </c>
      <c r="E90" s="17" t="s">
        <v>1143</v>
      </c>
      <c r="F90" s="2">
        <f t="shared" si="3"/>
        <v>1</v>
      </c>
    </row>
    <row r="91" spans="1:6" x14ac:dyDescent="0.3">
      <c r="A91" s="2" t="s">
        <v>717</v>
      </c>
      <c r="B91" s="2" t="s">
        <v>316</v>
      </c>
      <c r="C91" s="16">
        <f t="shared" si="2"/>
        <v>0</v>
      </c>
      <c r="D91" s="2" t="s">
        <v>316</v>
      </c>
      <c r="E91" s="17" t="s">
        <v>1141</v>
      </c>
      <c r="F91" s="2">
        <f t="shared" si="3"/>
        <v>0</v>
      </c>
    </row>
    <row r="92" spans="1:6" x14ac:dyDescent="0.3">
      <c r="A92" s="2" t="s">
        <v>753</v>
      </c>
      <c r="B92" s="2" t="s">
        <v>316</v>
      </c>
      <c r="C92" s="16">
        <f t="shared" si="2"/>
        <v>0</v>
      </c>
      <c r="D92" s="2" t="s">
        <v>1095</v>
      </c>
      <c r="E92" s="17" t="s">
        <v>1144</v>
      </c>
      <c r="F92" s="2">
        <f t="shared" si="3"/>
        <v>1</v>
      </c>
    </row>
    <row r="93" spans="1:6" x14ac:dyDescent="0.3">
      <c r="A93" s="2" t="s">
        <v>227</v>
      </c>
      <c r="B93" s="2" t="s">
        <v>316</v>
      </c>
      <c r="C93" s="16">
        <f t="shared" si="2"/>
        <v>0</v>
      </c>
      <c r="D93" s="2" t="s">
        <v>321</v>
      </c>
      <c r="E93" s="17" t="s">
        <v>1142</v>
      </c>
      <c r="F93" s="2">
        <f t="shared" si="3"/>
        <v>0</v>
      </c>
    </row>
    <row r="94" spans="1:6" x14ac:dyDescent="0.3">
      <c r="A94" s="2" t="s">
        <v>687</v>
      </c>
      <c r="B94" s="2" t="s">
        <v>316</v>
      </c>
      <c r="C94" s="16">
        <f t="shared" si="2"/>
        <v>0</v>
      </c>
      <c r="D94" s="2" t="s">
        <v>321</v>
      </c>
      <c r="E94" s="17" t="s">
        <v>1142</v>
      </c>
      <c r="F94" s="2">
        <f t="shared" si="3"/>
        <v>0</v>
      </c>
    </row>
    <row r="95" spans="1:6" x14ac:dyDescent="0.3">
      <c r="A95" s="2" t="s">
        <v>760</v>
      </c>
      <c r="B95" s="2" t="s">
        <v>316</v>
      </c>
      <c r="C95" s="16">
        <f t="shared" si="2"/>
        <v>0</v>
      </c>
      <c r="D95" s="2" t="s">
        <v>316</v>
      </c>
      <c r="E95" s="17" t="s">
        <v>1141</v>
      </c>
      <c r="F95" s="2">
        <f t="shared" si="3"/>
        <v>0</v>
      </c>
    </row>
    <row r="96" spans="1:6" x14ac:dyDescent="0.3">
      <c r="A96" s="2" t="s">
        <v>802</v>
      </c>
      <c r="B96" s="2" t="s">
        <v>316</v>
      </c>
      <c r="C96" s="16">
        <f t="shared" si="2"/>
        <v>0</v>
      </c>
      <c r="D96" s="2" t="s">
        <v>1095</v>
      </c>
      <c r="E96" s="17" t="s">
        <v>1144</v>
      </c>
      <c r="F96" s="2">
        <f t="shared" si="3"/>
        <v>1</v>
      </c>
    </row>
    <row r="97" spans="1:6" x14ac:dyDescent="0.3">
      <c r="A97" s="2" t="s">
        <v>688</v>
      </c>
      <c r="B97" s="2" t="s">
        <v>316</v>
      </c>
      <c r="C97" s="16">
        <f t="shared" si="2"/>
        <v>0</v>
      </c>
      <c r="D97" s="2" t="s">
        <v>321</v>
      </c>
      <c r="E97" s="17" t="s">
        <v>1142</v>
      </c>
      <c r="F97" s="2">
        <f t="shared" si="3"/>
        <v>0</v>
      </c>
    </row>
    <row r="98" spans="1:6" x14ac:dyDescent="0.3">
      <c r="A98" s="2" t="s">
        <v>818</v>
      </c>
      <c r="B98" s="2" t="s">
        <v>316</v>
      </c>
      <c r="C98" s="16">
        <f t="shared" si="2"/>
        <v>0</v>
      </c>
      <c r="D98" s="2" t="s">
        <v>321</v>
      </c>
      <c r="E98" s="17" t="s">
        <v>1142</v>
      </c>
      <c r="F98" s="2">
        <f t="shared" si="3"/>
        <v>0</v>
      </c>
    </row>
    <row r="99" spans="1:6" x14ac:dyDescent="0.3">
      <c r="A99" s="2" t="s">
        <v>784</v>
      </c>
      <c r="B99" s="2" t="s">
        <v>316</v>
      </c>
      <c r="C99" s="16">
        <f t="shared" si="2"/>
        <v>0</v>
      </c>
      <c r="D99" s="2" t="s">
        <v>315</v>
      </c>
      <c r="E99" s="17" t="s">
        <v>1143</v>
      </c>
      <c r="F99" s="2">
        <f t="shared" si="3"/>
        <v>1</v>
      </c>
    </row>
    <row r="100" spans="1:6" x14ac:dyDescent="0.3">
      <c r="A100" s="2" t="s">
        <v>748</v>
      </c>
      <c r="B100" s="2" t="s">
        <v>316</v>
      </c>
      <c r="C100" s="16">
        <f t="shared" si="2"/>
        <v>0</v>
      </c>
      <c r="D100" s="2" t="s">
        <v>315</v>
      </c>
      <c r="E100" s="17" t="s">
        <v>1143</v>
      </c>
      <c r="F100" s="2">
        <f t="shared" si="3"/>
        <v>1</v>
      </c>
    </row>
    <row r="101" spans="1:6" x14ac:dyDescent="0.3">
      <c r="A101" s="2" t="s">
        <v>138</v>
      </c>
      <c r="B101" s="2" t="s">
        <v>316</v>
      </c>
      <c r="C101" s="16">
        <f t="shared" si="2"/>
        <v>0</v>
      </c>
      <c r="D101" s="2" t="s">
        <v>315</v>
      </c>
      <c r="E101" s="17" t="s">
        <v>1143</v>
      </c>
      <c r="F101" s="2">
        <f t="shared" si="3"/>
        <v>1</v>
      </c>
    </row>
    <row r="102" spans="1:6" x14ac:dyDescent="0.3">
      <c r="A102" s="2" t="s">
        <v>814</v>
      </c>
      <c r="B102" s="2" t="s">
        <v>316</v>
      </c>
      <c r="C102" s="16">
        <f t="shared" si="2"/>
        <v>0</v>
      </c>
      <c r="D102" s="2" t="s">
        <v>315</v>
      </c>
      <c r="E102" s="17" t="s">
        <v>1143</v>
      </c>
      <c r="F102" s="2">
        <f t="shared" si="3"/>
        <v>1</v>
      </c>
    </row>
    <row r="103" spans="1:6" x14ac:dyDescent="0.3">
      <c r="A103" s="2" t="s">
        <v>888</v>
      </c>
      <c r="B103" s="2" t="s">
        <v>316</v>
      </c>
      <c r="C103" s="16">
        <f t="shared" si="2"/>
        <v>0</v>
      </c>
      <c r="D103" s="2" t="s">
        <v>315</v>
      </c>
      <c r="E103" s="17" t="s">
        <v>1143</v>
      </c>
      <c r="F103" s="2">
        <f t="shared" si="3"/>
        <v>1</v>
      </c>
    </row>
    <row r="104" spans="1:6" x14ac:dyDescent="0.3">
      <c r="A104" s="2" t="s">
        <v>929</v>
      </c>
      <c r="B104" s="2" t="s">
        <v>316</v>
      </c>
      <c r="C104" s="16">
        <f t="shared" si="2"/>
        <v>0</v>
      </c>
      <c r="D104" s="2" t="s">
        <v>321</v>
      </c>
      <c r="E104" s="17" t="s">
        <v>1142</v>
      </c>
      <c r="F104" s="2">
        <f t="shared" si="3"/>
        <v>0</v>
      </c>
    </row>
    <row r="105" spans="1:6" x14ac:dyDescent="0.3">
      <c r="A105" s="2" t="s">
        <v>926</v>
      </c>
      <c r="B105" s="2" t="s">
        <v>316</v>
      </c>
      <c r="C105" s="16">
        <f t="shared" si="2"/>
        <v>0</v>
      </c>
      <c r="D105" s="2" t="s">
        <v>321</v>
      </c>
      <c r="E105" s="17" t="s">
        <v>1142</v>
      </c>
      <c r="F105" s="2">
        <f t="shared" si="3"/>
        <v>0</v>
      </c>
    </row>
    <row r="106" spans="1:6" x14ac:dyDescent="0.3">
      <c r="A106" s="2" t="s">
        <v>133</v>
      </c>
      <c r="B106" s="2" t="s">
        <v>316</v>
      </c>
      <c r="C106" s="16">
        <f t="shared" si="2"/>
        <v>0</v>
      </c>
      <c r="D106" s="2" t="s">
        <v>321</v>
      </c>
      <c r="E106" s="17" t="s">
        <v>1142</v>
      </c>
      <c r="F106" s="2">
        <f t="shared" si="3"/>
        <v>0</v>
      </c>
    </row>
    <row r="107" spans="1:6" x14ac:dyDescent="0.3">
      <c r="A107" s="2" t="s">
        <v>937</v>
      </c>
      <c r="B107" s="2" t="s">
        <v>316</v>
      </c>
      <c r="C107" s="16">
        <f t="shared" si="2"/>
        <v>0</v>
      </c>
      <c r="D107" s="2" t="s">
        <v>1095</v>
      </c>
      <c r="E107" s="17" t="s">
        <v>1144</v>
      </c>
      <c r="F107" s="2">
        <f t="shared" si="3"/>
        <v>1</v>
      </c>
    </row>
    <row r="108" spans="1:6" x14ac:dyDescent="0.3">
      <c r="A108" s="2" t="s">
        <v>151</v>
      </c>
      <c r="B108" s="2" t="s">
        <v>316</v>
      </c>
      <c r="C108" s="16">
        <f t="shared" si="2"/>
        <v>0</v>
      </c>
      <c r="D108" s="2" t="s">
        <v>1095</v>
      </c>
      <c r="E108" s="17" t="s">
        <v>1144</v>
      </c>
      <c r="F108" s="2">
        <f t="shared" si="3"/>
        <v>1</v>
      </c>
    </row>
    <row r="109" spans="1:6" x14ac:dyDescent="0.3">
      <c r="A109" s="2" t="s">
        <v>690</v>
      </c>
      <c r="B109" s="2" t="s">
        <v>316</v>
      </c>
      <c r="C109" s="16">
        <f t="shared" si="2"/>
        <v>0</v>
      </c>
      <c r="D109" s="2" t="s">
        <v>315</v>
      </c>
      <c r="E109" s="17" t="s">
        <v>1143</v>
      </c>
      <c r="F109" s="2">
        <f t="shared" si="3"/>
        <v>1</v>
      </c>
    </row>
    <row r="110" spans="1:6" x14ac:dyDescent="0.3">
      <c r="A110" s="2" t="s">
        <v>880</v>
      </c>
      <c r="B110" s="2" t="s">
        <v>316</v>
      </c>
      <c r="C110" s="16">
        <f t="shared" si="2"/>
        <v>0</v>
      </c>
      <c r="D110" s="2" t="s">
        <v>321</v>
      </c>
      <c r="E110" s="17" t="s">
        <v>1142</v>
      </c>
      <c r="F110" s="2">
        <f t="shared" si="3"/>
        <v>0</v>
      </c>
    </row>
    <row r="111" spans="1:6" x14ac:dyDescent="0.3">
      <c r="A111" s="2" t="s">
        <v>167</v>
      </c>
      <c r="B111" s="2" t="s">
        <v>316</v>
      </c>
      <c r="C111" s="16">
        <f t="shared" si="2"/>
        <v>0</v>
      </c>
      <c r="D111" s="2" t="s">
        <v>315</v>
      </c>
      <c r="E111" s="17" t="s">
        <v>1143</v>
      </c>
      <c r="F111" s="2">
        <f t="shared" si="3"/>
        <v>1</v>
      </c>
    </row>
    <row r="112" spans="1:6" x14ac:dyDescent="0.3">
      <c r="A112" s="2" t="s">
        <v>722</v>
      </c>
      <c r="B112" s="2" t="s">
        <v>316</v>
      </c>
      <c r="C112" s="16">
        <f t="shared" si="2"/>
        <v>0</v>
      </c>
      <c r="D112" s="2" t="s">
        <v>321</v>
      </c>
      <c r="E112" s="17" t="s">
        <v>1142</v>
      </c>
      <c r="F112" s="2">
        <f t="shared" si="3"/>
        <v>0</v>
      </c>
    </row>
    <row r="113" spans="1:6" x14ac:dyDescent="0.3">
      <c r="A113" s="2" t="s">
        <v>860</v>
      </c>
      <c r="B113" s="2" t="s">
        <v>316</v>
      </c>
      <c r="C113" s="16">
        <f t="shared" si="2"/>
        <v>0</v>
      </c>
      <c r="D113" s="2" t="s">
        <v>1095</v>
      </c>
      <c r="E113" s="17" t="s">
        <v>1144</v>
      </c>
      <c r="F113" s="2">
        <f t="shared" si="3"/>
        <v>1</v>
      </c>
    </row>
    <row r="114" spans="1:6" x14ac:dyDescent="0.3">
      <c r="A114" s="2" t="s">
        <v>868</v>
      </c>
      <c r="B114" s="2" t="s">
        <v>316</v>
      </c>
      <c r="C114" s="16">
        <f t="shared" si="2"/>
        <v>0</v>
      </c>
      <c r="D114" s="2" t="s">
        <v>321</v>
      </c>
      <c r="E114" s="17" t="s">
        <v>1142</v>
      </c>
      <c r="F114" s="2">
        <f t="shared" si="3"/>
        <v>0</v>
      </c>
    </row>
    <row r="115" spans="1:6" x14ac:dyDescent="0.3">
      <c r="A115" s="2" t="s">
        <v>869</v>
      </c>
      <c r="B115" s="2" t="s">
        <v>316</v>
      </c>
      <c r="C115" s="16">
        <f t="shared" si="2"/>
        <v>0</v>
      </c>
      <c r="D115" s="2" t="s">
        <v>321</v>
      </c>
      <c r="E115" s="17" t="s">
        <v>1142</v>
      </c>
      <c r="F115" s="2">
        <f t="shared" si="3"/>
        <v>0</v>
      </c>
    </row>
    <row r="116" spans="1:6" x14ac:dyDescent="0.3">
      <c r="A116" s="2" t="s">
        <v>917</v>
      </c>
      <c r="B116" s="2" t="s">
        <v>316</v>
      </c>
      <c r="C116" s="16">
        <f t="shared" si="2"/>
        <v>0</v>
      </c>
      <c r="D116" s="2" t="s">
        <v>1095</v>
      </c>
      <c r="E116" s="17" t="s">
        <v>1144</v>
      </c>
      <c r="F116" s="2">
        <f t="shared" si="3"/>
        <v>1</v>
      </c>
    </row>
    <row r="117" spans="1:6" x14ac:dyDescent="0.3">
      <c r="A117" s="2" t="s">
        <v>675</v>
      </c>
      <c r="B117" s="2" t="s">
        <v>316</v>
      </c>
      <c r="C117" s="16">
        <f t="shared" si="2"/>
        <v>0</v>
      </c>
      <c r="D117" s="2" t="s">
        <v>321</v>
      </c>
      <c r="E117" s="17" t="s">
        <v>1142</v>
      </c>
      <c r="F117" s="2">
        <f t="shared" si="3"/>
        <v>0</v>
      </c>
    </row>
    <row r="118" spans="1:6" x14ac:dyDescent="0.3">
      <c r="A118" s="2" t="s">
        <v>213</v>
      </c>
      <c r="B118" s="2" t="s">
        <v>316</v>
      </c>
      <c r="C118" s="16">
        <f t="shared" si="2"/>
        <v>0</v>
      </c>
      <c r="D118" s="2" t="s">
        <v>1095</v>
      </c>
      <c r="E118" s="17" t="s">
        <v>1144</v>
      </c>
      <c r="F118" s="2">
        <f t="shared" si="3"/>
        <v>1</v>
      </c>
    </row>
    <row r="119" spans="1:6" x14ac:dyDescent="0.3">
      <c r="A119" s="2" t="s">
        <v>708</v>
      </c>
      <c r="B119" s="2" t="s">
        <v>316</v>
      </c>
      <c r="C119" s="16">
        <f t="shared" si="2"/>
        <v>0</v>
      </c>
      <c r="D119" s="2" t="s">
        <v>316</v>
      </c>
      <c r="E119" s="17" t="s">
        <v>1141</v>
      </c>
      <c r="F119" s="2">
        <f t="shared" si="3"/>
        <v>0</v>
      </c>
    </row>
    <row r="120" spans="1:6" x14ac:dyDescent="0.3">
      <c r="A120" s="2" t="s">
        <v>737</v>
      </c>
      <c r="B120" s="2" t="s">
        <v>316</v>
      </c>
      <c r="C120" s="16">
        <f t="shared" si="2"/>
        <v>0</v>
      </c>
      <c r="D120" s="2" t="s">
        <v>321</v>
      </c>
      <c r="E120" s="17" t="s">
        <v>1142</v>
      </c>
      <c r="F120" s="2">
        <f t="shared" si="3"/>
        <v>0</v>
      </c>
    </row>
    <row r="121" spans="1:6" x14ac:dyDescent="0.3">
      <c r="A121" s="2" t="s">
        <v>838</v>
      </c>
      <c r="B121" s="2" t="s">
        <v>316</v>
      </c>
      <c r="C121" s="16">
        <f t="shared" si="2"/>
        <v>0</v>
      </c>
      <c r="D121" s="2" t="s">
        <v>316</v>
      </c>
      <c r="E121" s="17" t="s">
        <v>1141</v>
      </c>
      <c r="F121" s="2">
        <f t="shared" si="3"/>
        <v>0</v>
      </c>
    </row>
    <row r="122" spans="1:6" x14ac:dyDescent="0.3">
      <c r="A122" s="2" t="s">
        <v>849</v>
      </c>
      <c r="B122" s="2" t="s">
        <v>316</v>
      </c>
      <c r="C122" s="16">
        <f t="shared" si="2"/>
        <v>0</v>
      </c>
      <c r="D122" s="2" t="s">
        <v>1095</v>
      </c>
      <c r="E122" s="17" t="s">
        <v>1144</v>
      </c>
      <c r="F122" s="2">
        <f t="shared" si="3"/>
        <v>1</v>
      </c>
    </row>
    <row r="123" spans="1:6" x14ac:dyDescent="0.3">
      <c r="A123" s="2" t="s">
        <v>147</v>
      </c>
      <c r="B123" s="2" t="s">
        <v>316</v>
      </c>
      <c r="C123" s="16">
        <f t="shared" si="2"/>
        <v>0</v>
      </c>
      <c r="D123" s="2" t="s">
        <v>321</v>
      </c>
      <c r="E123" s="17" t="s">
        <v>1142</v>
      </c>
      <c r="F123" s="2">
        <f t="shared" si="3"/>
        <v>0</v>
      </c>
    </row>
    <row r="124" spans="1:6" x14ac:dyDescent="0.3">
      <c r="A124" s="2" t="s">
        <v>815</v>
      </c>
      <c r="B124" s="2" t="s">
        <v>316</v>
      </c>
      <c r="C124" s="16">
        <f t="shared" si="2"/>
        <v>0</v>
      </c>
      <c r="D124" s="2" t="s">
        <v>315</v>
      </c>
      <c r="E124" s="17" t="s">
        <v>1143</v>
      </c>
      <c r="F124" s="2">
        <f t="shared" si="3"/>
        <v>1</v>
      </c>
    </row>
    <row r="125" spans="1:6" x14ac:dyDescent="0.3">
      <c r="A125" s="2" t="s">
        <v>940</v>
      </c>
      <c r="B125" s="2" t="s">
        <v>316</v>
      </c>
      <c r="C125" s="16">
        <f t="shared" si="2"/>
        <v>0</v>
      </c>
      <c r="D125" s="2" t="s">
        <v>316</v>
      </c>
      <c r="E125" s="17" t="s">
        <v>1141</v>
      </c>
      <c r="F125" s="2">
        <f t="shared" si="3"/>
        <v>0</v>
      </c>
    </row>
    <row r="126" spans="1:6" x14ac:dyDescent="0.3">
      <c r="A126" s="2" t="s">
        <v>825</v>
      </c>
      <c r="B126" s="2" t="s">
        <v>316</v>
      </c>
      <c r="C126" s="16">
        <f t="shared" si="2"/>
        <v>0</v>
      </c>
      <c r="D126" s="2" t="s">
        <v>316</v>
      </c>
      <c r="E126" s="17" t="s">
        <v>1141</v>
      </c>
      <c r="F126" s="2">
        <f t="shared" si="3"/>
        <v>0</v>
      </c>
    </row>
    <row r="127" spans="1:6" x14ac:dyDescent="0.3">
      <c r="A127" s="2" t="s">
        <v>879</v>
      </c>
      <c r="B127" s="2" t="s">
        <v>316</v>
      </c>
      <c r="C127" s="16">
        <f t="shared" si="2"/>
        <v>0</v>
      </c>
      <c r="D127" s="2" t="s">
        <v>316</v>
      </c>
      <c r="E127" s="17" t="s">
        <v>1141</v>
      </c>
      <c r="F127" s="2">
        <f t="shared" si="3"/>
        <v>0</v>
      </c>
    </row>
    <row r="128" spans="1:6" x14ac:dyDescent="0.3">
      <c r="A128" s="2" t="s">
        <v>668</v>
      </c>
      <c r="B128" s="2" t="s">
        <v>316</v>
      </c>
      <c r="C128" s="16">
        <f t="shared" si="2"/>
        <v>0</v>
      </c>
      <c r="D128" s="2" t="s">
        <v>1095</v>
      </c>
      <c r="E128" s="17" t="s">
        <v>1144</v>
      </c>
      <c r="F128" s="2">
        <f t="shared" si="3"/>
        <v>1</v>
      </c>
    </row>
    <row r="129" spans="1:6" x14ac:dyDescent="0.3">
      <c r="A129" s="2" t="s">
        <v>847</v>
      </c>
      <c r="B129" s="2" t="s">
        <v>316</v>
      </c>
      <c r="C129" s="16">
        <f t="shared" si="2"/>
        <v>0</v>
      </c>
      <c r="D129" s="2" t="s">
        <v>321</v>
      </c>
      <c r="E129" s="17" t="s">
        <v>1142</v>
      </c>
      <c r="F129" s="2">
        <f t="shared" si="3"/>
        <v>0</v>
      </c>
    </row>
    <row r="130" spans="1:6" x14ac:dyDescent="0.3">
      <c r="A130" s="2" t="s">
        <v>803</v>
      </c>
      <c r="B130" s="2" t="s">
        <v>316</v>
      </c>
      <c r="C130" s="16">
        <f t="shared" ref="C130:C193" si="4">IF(B130="Yes",1,0)</f>
        <v>0</v>
      </c>
      <c r="D130" s="2" t="s">
        <v>316</v>
      </c>
      <c r="E130" s="17" t="s">
        <v>1141</v>
      </c>
      <c r="F130" s="2">
        <f t="shared" ref="F130:F193" si="5">IF(OR(E130="Low risk",E130="Medium risk"),0,1)</f>
        <v>0</v>
      </c>
    </row>
    <row r="131" spans="1:6" x14ac:dyDescent="0.3">
      <c r="A131" s="2" t="s">
        <v>169</v>
      </c>
      <c r="B131" s="2" t="s">
        <v>316</v>
      </c>
      <c r="C131" s="16">
        <f t="shared" si="4"/>
        <v>0</v>
      </c>
      <c r="D131" s="2" t="s">
        <v>315</v>
      </c>
      <c r="E131" s="17" t="s">
        <v>1143</v>
      </c>
      <c r="F131" s="2">
        <f t="shared" si="5"/>
        <v>1</v>
      </c>
    </row>
    <row r="132" spans="1:6" x14ac:dyDescent="0.3">
      <c r="A132" s="2" t="s">
        <v>176</v>
      </c>
      <c r="B132" s="2" t="s">
        <v>316</v>
      </c>
      <c r="C132" s="16">
        <f t="shared" si="4"/>
        <v>0</v>
      </c>
      <c r="D132" s="2" t="s">
        <v>316</v>
      </c>
      <c r="E132" s="17" t="s">
        <v>1141</v>
      </c>
      <c r="F132" s="2">
        <f t="shared" si="5"/>
        <v>0</v>
      </c>
    </row>
    <row r="133" spans="1:6" x14ac:dyDescent="0.3">
      <c r="A133" s="2" t="s">
        <v>844</v>
      </c>
      <c r="B133" s="2" t="s">
        <v>316</v>
      </c>
      <c r="C133" s="16">
        <f t="shared" si="4"/>
        <v>0</v>
      </c>
      <c r="D133" s="2" t="s">
        <v>316</v>
      </c>
      <c r="E133" s="17" t="s">
        <v>1141</v>
      </c>
      <c r="F133" s="2">
        <f t="shared" si="5"/>
        <v>0</v>
      </c>
    </row>
    <row r="134" spans="1:6" x14ac:dyDescent="0.3">
      <c r="A134" s="2" t="s">
        <v>145</v>
      </c>
      <c r="B134" s="2" t="s">
        <v>316</v>
      </c>
      <c r="C134" s="16">
        <f t="shared" si="4"/>
        <v>0</v>
      </c>
      <c r="D134" s="2" t="s">
        <v>316</v>
      </c>
      <c r="E134" s="17" t="s">
        <v>1141</v>
      </c>
      <c r="F134" s="2">
        <f t="shared" si="5"/>
        <v>0</v>
      </c>
    </row>
    <row r="135" spans="1:6" x14ac:dyDescent="0.3">
      <c r="A135" s="2" t="s">
        <v>761</v>
      </c>
      <c r="B135" s="2" t="s">
        <v>316</v>
      </c>
      <c r="C135" s="16">
        <f t="shared" si="4"/>
        <v>0</v>
      </c>
      <c r="D135" s="2" t="s">
        <v>321</v>
      </c>
      <c r="E135" s="17" t="s">
        <v>1142</v>
      </c>
      <c r="F135" s="2">
        <f t="shared" si="5"/>
        <v>0</v>
      </c>
    </row>
    <row r="136" spans="1:6" x14ac:dyDescent="0.3">
      <c r="A136" s="2" t="s">
        <v>898</v>
      </c>
      <c r="B136" s="2" t="s">
        <v>316</v>
      </c>
      <c r="C136" s="16">
        <f t="shared" si="4"/>
        <v>0</v>
      </c>
      <c r="D136" s="2" t="s">
        <v>315</v>
      </c>
      <c r="E136" s="17" t="s">
        <v>1143</v>
      </c>
      <c r="F136" s="2">
        <f t="shared" si="5"/>
        <v>1</v>
      </c>
    </row>
    <row r="137" spans="1:6" x14ac:dyDescent="0.3">
      <c r="A137" s="2" t="s">
        <v>1108</v>
      </c>
      <c r="B137" s="2" t="s">
        <v>316</v>
      </c>
      <c r="C137" s="16">
        <f t="shared" si="4"/>
        <v>0</v>
      </c>
      <c r="D137" s="2" t="s">
        <v>316</v>
      </c>
      <c r="E137" s="17" t="s">
        <v>1141</v>
      </c>
      <c r="F137" s="2">
        <f t="shared" si="5"/>
        <v>0</v>
      </c>
    </row>
    <row r="138" spans="1:6" x14ac:dyDescent="0.3">
      <c r="A138" s="2" t="s">
        <v>876</v>
      </c>
      <c r="B138" s="2" t="s">
        <v>316</v>
      </c>
      <c r="C138" s="16">
        <f t="shared" si="4"/>
        <v>0</v>
      </c>
      <c r="D138" s="2" t="s">
        <v>316</v>
      </c>
      <c r="E138" s="17" t="s">
        <v>1141</v>
      </c>
      <c r="F138" s="2">
        <f t="shared" si="5"/>
        <v>0</v>
      </c>
    </row>
    <row r="139" spans="1:6" x14ac:dyDescent="0.3">
      <c r="A139" s="2" t="s">
        <v>796</v>
      </c>
      <c r="B139" s="2" t="s">
        <v>316</v>
      </c>
      <c r="C139" s="16">
        <f t="shared" si="4"/>
        <v>0</v>
      </c>
      <c r="D139" s="2" t="s">
        <v>1095</v>
      </c>
      <c r="E139" s="17" t="s">
        <v>1144</v>
      </c>
      <c r="F139" s="2">
        <f t="shared" si="5"/>
        <v>1</v>
      </c>
    </row>
    <row r="140" spans="1:6" x14ac:dyDescent="0.3">
      <c r="A140" s="2" t="s">
        <v>701</v>
      </c>
      <c r="B140" s="2" t="s">
        <v>316</v>
      </c>
      <c r="C140" s="16">
        <f t="shared" si="4"/>
        <v>0</v>
      </c>
      <c r="D140" s="2" t="s">
        <v>321</v>
      </c>
      <c r="E140" s="17" t="s">
        <v>1142</v>
      </c>
      <c r="F140" s="2">
        <f t="shared" si="5"/>
        <v>0</v>
      </c>
    </row>
    <row r="141" spans="1:6" x14ac:dyDescent="0.3">
      <c r="A141" s="2" t="s">
        <v>786</v>
      </c>
      <c r="B141" s="2" t="s">
        <v>316</v>
      </c>
      <c r="C141" s="16">
        <f t="shared" si="4"/>
        <v>0</v>
      </c>
      <c r="D141" s="2" t="s">
        <v>316</v>
      </c>
      <c r="E141" s="17" t="s">
        <v>1141</v>
      </c>
      <c r="F141" s="2">
        <f t="shared" si="5"/>
        <v>0</v>
      </c>
    </row>
    <row r="142" spans="1:6" x14ac:dyDescent="0.3">
      <c r="A142" s="2" t="s">
        <v>768</v>
      </c>
      <c r="B142" s="2" t="s">
        <v>316</v>
      </c>
      <c r="C142" s="16">
        <f t="shared" si="4"/>
        <v>0</v>
      </c>
      <c r="D142" s="2" t="s">
        <v>315</v>
      </c>
      <c r="E142" s="17" t="s">
        <v>1143</v>
      </c>
      <c r="F142" s="2">
        <f t="shared" si="5"/>
        <v>1</v>
      </c>
    </row>
    <row r="143" spans="1:6" x14ac:dyDescent="0.3">
      <c r="A143" s="2" t="s">
        <v>741</v>
      </c>
      <c r="B143" s="2" t="s">
        <v>316</v>
      </c>
      <c r="C143" s="16">
        <f t="shared" si="4"/>
        <v>0</v>
      </c>
      <c r="D143" s="2" t="s">
        <v>315</v>
      </c>
      <c r="E143" s="17" t="s">
        <v>1143</v>
      </c>
      <c r="F143" s="2">
        <f t="shared" si="5"/>
        <v>1</v>
      </c>
    </row>
    <row r="144" spans="1:6" x14ac:dyDescent="0.3">
      <c r="A144" s="2" t="s">
        <v>943</v>
      </c>
      <c r="B144" s="2" t="s">
        <v>316</v>
      </c>
      <c r="C144" s="16">
        <f t="shared" si="4"/>
        <v>0</v>
      </c>
      <c r="D144" s="2" t="s">
        <v>315</v>
      </c>
      <c r="E144" s="17" t="s">
        <v>1143</v>
      </c>
      <c r="F144" s="2">
        <f t="shared" si="5"/>
        <v>1</v>
      </c>
    </row>
    <row r="145" spans="1:6" x14ac:dyDescent="0.3">
      <c r="A145" s="2" t="s">
        <v>887</v>
      </c>
      <c r="B145" s="2" t="s">
        <v>316</v>
      </c>
      <c r="C145" s="16">
        <f t="shared" si="4"/>
        <v>0</v>
      </c>
      <c r="D145" s="2" t="s">
        <v>315</v>
      </c>
      <c r="E145" s="17" t="s">
        <v>1143</v>
      </c>
      <c r="F145" s="2">
        <f t="shared" si="5"/>
        <v>1</v>
      </c>
    </row>
    <row r="146" spans="1:6" x14ac:dyDescent="0.3">
      <c r="A146" s="2" t="s">
        <v>877</v>
      </c>
      <c r="B146" s="2" t="s">
        <v>316</v>
      </c>
      <c r="C146" s="16">
        <f t="shared" si="4"/>
        <v>0</v>
      </c>
      <c r="D146" s="2" t="s">
        <v>1095</v>
      </c>
      <c r="E146" s="17" t="s">
        <v>1144</v>
      </c>
      <c r="F146" s="2">
        <f t="shared" si="5"/>
        <v>1</v>
      </c>
    </row>
    <row r="147" spans="1:6" x14ac:dyDescent="0.3">
      <c r="A147" s="2" t="s">
        <v>137</v>
      </c>
      <c r="B147" s="2" t="s">
        <v>316</v>
      </c>
      <c r="C147" s="16">
        <f t="shared" si="4"/>
        <v>0</v>
      </c>
      <c r="D147" s="2" t="s">
        <v>321</v>
      </c>
      <c r="E147" s="17" t="s">
        <v>1142</v>
      </c>
      <c r="F147" s="2">
        <f t="shared" si="5"/>
        <v>0</v>
      </c>
    </row>
    <row r="148" spans="1:6" x14ac:dyDescent="0.3">
      <c r="A148" s="2" t="s">
        <v>755</v>
      </c>
      <c r="B148" s="2" t="s">
        <v>316</v>
      </c>
      <c r="C148" s="16">
        <f t="shared" si="4"/>
        <v>0</v>
      </c>
      <c r="D148" s="2" t="s">
        <v>315</v>
      </c>
      <c r="E148" s="17" t="s">
        <v>1143</v>
      </c>
      <c r="F148" s="2">
        <f t="shared" si="5"/>
        <v>1</v>
      </c>
    </row>
    <row r="149" spans="1:6" x14ac:dyDescent="0.3">
      <c r="A149" s="2" t="s">
        <v>762</v>
      </c>
      <c r="B149" s="2" t="s">
        <v>316</v>
      </c>
      <c r="C149" s="16">
        <f t="shared" si="4"/>
        <v>0</v>
      </c>
      <c r="D149" s="2" t="s">
        <v>1095</v>
      </c>
      <c r="E149" s="17" t="s">
        <v>1144</v>
      </c>
      <c r="F149" s="2">
        <f t="shared" si="5"/>
        <v>1</v>
      </c>
    </row>
    <row r="150" spans="1:6" x14ac:dyDescent="0.3">
      <c r="A150" s="2" t="s">
        <v>707</v>
      </c>
      <c r="B150" s="2" t="s">
        <v>316</v>
      </c>
      <c r="C150" s="16">
        <f t="shared" si="4"/>
        <v>0</v>
      </c>
      <c r="D150" s="2" t="s">
        <v>316</v>
      </c>
      <c r="E150" s="17" t="s">
        <v>1141</v>
      </c>
      <c r="F150" s="2">
        <f t="shared" si="5"/>
        <v>0</v>
      </c>
    </row>
    <row r="151" spans="1:6" x14ac:dyDescent="0.3">
      <c r="A151" s="2" t="s">
        <v>206</v>
      </c>
      <c r="B151" s="2" t="s">
        <v>316</v>
      </c>
      <c r="C151" s="16">
        <f t="shared" si="4"/>
        <v>0</v>
      </c>
      <c r="D151" s="2" t="s">
        <v>321</v>
      </c>
      <c r="E151" s="17" t="s">
        <v>1142</v>
      </c>
      <c r="F151" s="2">
        <f t="shared" si="5"/>
        <v>0</v>
      </c>
    </row>
    <row r="152" spans="1:6" x14ac:dyDescent="0.3">
      <c r="A152" s="2" t="s">
        <v>196</v>
      </c>
      <c r="B152" s="2" t="s">
        <v>316</v>
      </c>
      <c r="C152" s="16">
        <f t="shared" si="4"/>
        <v>0</v>
      </c>
      <c r="D152" s="2" t="s">
        <v>316</v>
      </c>
      <c r="E152" s="17" t="s">
        <v>1141</v>
      </c>
      <c r="F152" s="2">
        <f t="shared" si="5"/>
        <v>0</v>
      </c>
    </row>
    <row r="153" spans="1:6" x14ac:dyDescent="0.3">
      <c r="A153" s="2" t="s">
        <v>216</v>
      </c>
      <c r="B153" s="2" t="s">
        <v>316</v>
      </c>
      <c r="C153" s="16">
        <f t="shared" si="4"/>
        <v>0</v>
      </c>
      <c r="D153" s="2" t="s">
        <v>1095</v>
      </c>
      <c r="E153" s="17" t="s">
        <v>1144</v>
      </c>
      <c r="F153" s="2">
        <f t="shared" si="5"/>
        <v>1</v>
      </c>
    </row>
    <row r="154" spans="1:6" x14ac:dyDescent="0.3">
      <c r="A154" s="2" t="s">
        <v>135</v>
      </c>
      <c r="B154" s="2" t="s">
        <v>316</v>
      </c>
      <c r="C154" s="16">
        <f t="shared" si="4"/>
        <v>0</v>
      </c>
      <c r="D154" s="2" t="s">
        <v>321</v>
      </c>
      <c r="E154" s="17" t="s">
        <v>1142</v>
      </c>
      <c r="F154" s="2">
        <f t="shared" si="5"/>
        <v>0</v>
      </c>
    </row>
    <row r="155" spans="1:6" x14ac:dyDescent="0.3">
      <c r="A155" s="2" t="s">
        <v>799</v>
      </c>
      <c r="B155" s="2" t="s">
        <v>316</v>
      </c>
      <c r="C155" s="16">
        <f t="shared" si="4"/>
        <v>0</v>
      </c>
      <c r="D155" s="2" t="s">
        <v>1095</v>
      </c>
      <c r="E155" s="17" t="s">
        <v>1144</v>
      </c>
      <c r="F155" s="2">
        <f t="shared" si="5"/>
        <v>1</v>
      </c>
    </row>
    <row r="156" spans="1:6" x14ac:dyDescent="0.3">
      <c r="A156" s="2" t="s">
        <v>144</v>
      </c>
      <c r="B156" s="2" t="s">
        <v>316</v>
      </c>
      <c r="C156" s="16">
        <f t="shared" si="4"/>
        <v>0</v>
      </c>
      <c r="D156" s="2" t="s">
        <v>1095</v>
      </c>
      <c r="E156" s="17" t="s">
        <v>1144</v>
      </c>
      <c r="F156" s="2">
        <f t="shared" si="5"/>
        <v>1</v>
      </c>
    </row>
    <row r="157" spans="1:6" x14ac:dyDescent="0.3">
      <c r="A157" s="2" t="s">
        <v>889</v>
      </c>
      <c r="B157" s="2" t="s">
        <v>316</v>
      </c>
      <c r="C157" s="16">
        <f t="shared" si="4"/>
        <v>0</v>
      </c>
      <c r="D157" s="2" t="s">
        <v>1095</v>
      </c>
      <c r="E157" s="17" t="s">
        <v>1144</v>
      </c>
      <c r="F157" s="2">
        <f t="shared" si="5"/>
        <v>1</v>
      </c>
    </row>
    <row r="158" spans="1:6" x14ac:dyDescent="0.3">
      <c r="A158" s="2" t="s">
        <v>671</v>
      </c>
      <c r="B158" s="2" t="s">
        <v>316</v>
      </c>
      <c r="C158" s="16">
        <f t="shared" si="4"/>
        <v>0</v>
      </c>
      <c r="D158" s="2" t="s">
        <v>321</v>
      </c>
      <c r="E158" s="17" t="s">
        <v>1142</v>
      </c>
      <c r="F158" s="2">
        <f t="shared" si="5"/>
        <v>0</v>
      </c>
    </row>
    <row r="159" spans="1:6" x14ac:dyDescent="0.3">
      <c r="A159" s="2" t="s">
        <v>797</v>
      </c>
      <c r="B159" s="2" t="s">
        <v>316</v>
      </c>
      <c r="C159" s="16">
        <f t="shared" si="4"/>
        <v>0</v>
      </c>
      <c r="D159" s="2" t="s">
        <v>316</v>
      </c>
      <c r="E159" s="17" t="s">
        <v>1141</v>
      </c>
      <c r="F159" s="2">
        <f t="shared" si="5"/>
        <v>0</v>
      </c>
    </row>
    <row r="160" spans="1:6" x14ac:dyDescent="0.3">
      <c r="A160" s="2" t="s">
        <v>689</v>
      </c>
      <c r="B160" s="2" t="s">
        <v>316</v>
      </c>
      <c r="C160" s="16">
        <f t="shared" si="4"/>
        <v>0</v>
      </c>
      <c r="D160" s="2" t="s">
        <v>1095</v>
      </c>
      <c r="E160" s="17" t="s">
        <v>1144</v>
      </c>
      <c r="F160" s="2">
        <f t="shared" si="5"/>
        <v>1</v>
      </c>
    </row>
    <row r="161" spans="1:6" x14ac:dyDescent="0.3">
      <c r="A161" s="2" t="s">
        <v>162</v>
      </c>
      <c r="B161" s="2" t="s">
        <v>316</v>
      </c>
      <c r="C161" s="16">
        <f t="shared" si="4"/>
        <v>0</v>
      </c>
      <c r="D161" s="2" t="s">
        <v>1095</v>
      </c>
      <c r="E161" s="17" t="s">
        <v>1144</v>
      </c>
      <c r="F161" s="2">
        <f t="shared" si="5"/>
        <v>1</v>
      </c>
    </row>
    <row r="162" spans="1:6" x14ac:dyDescent="0.3">
      <c r="A162" s="2" t="s">
        <v>843</v>
      </c>
      <c r="B162" s="2" t="s">
        <v>316</v>
      </c>
      <c r="C162" s="16">
        <f t="shared" si="4"/>
        <v>0</v>
      </c>
      <c r="D162" s="2" t="s">
        <v>321</v>
      </c>
      <c r="E162" s="17" t="s">
        <v>1142</v>
      </c>
      <c r="F162" s="2">
        <f t="shared" si="5"/>
        <v>0</v>
      </c>
    </row>
    <row r="163" spans="1:6" x14ac:dyDescent="0.3">
      <c r="A163" s="2" t="s">
        <v>775</v>
      </c>
      <c r="B163" s="2" t="s">
        <v>316</v>
      </c>
      <c r="C163" s="16">
        <f t="shared" si="4"/>
        <v>0</v>
      </c>
      <c r="D163" s="2" t="s">
        <v>321</v>
      </c>
      <c r="E163" s="17" t="s">
        <v>1142</v>
      </c>
      <c r="F163" s="2">
        <f t="shared" si="5"/>
        <v>0</v>
      </c>
    </row>
    <row r="164" spans="1:6" x14ac:dyDescent="0.3">
      <c r="A164" s="2" t="s">
        <v>924</v>
      </c>
      <c r="B164" s="2" t="s">
        <v>316</v>
      </c>
      <c r="C164" s="16">
        <f t="shared" si="4"/>
        <v>0</v>
      </c>
      <c r="D164" s="2" t="s">
        <v>315</v>
      </c>
      <c r="E164" s="17" t="s">
        <v>1143</v>
      </c>
      <c r="F164" s="2">
        <f t="shared" si="5"/>
        <v>1</v>
      </c>
    </row>
    <row r="165" spans="1:6" x14ac:dyDescent="0.3">
      <c r="A165" s="2" t="s">
        <v>941</v>
      </c>
      <c r="B165" s="2" t="s">
        <v>316</v>
      </c>
      <c r="C165" s="16">
        <f t="shared" si="4"/>
        <v>0</v>
      </c>
      <c r="D165" s="2" t="s">
        <v>1095</v>
      </c>
      <c r="E165" s="17" t="s">
        <v>1144</v>
      </c>
      <c r="F165" s="2">
        <f t="shared" si="5"/>
        <v>1</v>
      </c>
    </row>
    <row r="166" spans="1:6" x14ac:dyDescent="0.3">
      <c r="A166" s="2" t="s">
        <v>746</v>
      </c>
      <c r="B166" s="2" t="s">
        <v>316</v>
      </c>
      <c r="C166" s="16">
        <f t="shared" si="4"/>
        <v>0</v>
      </c>
      <c r="D166" s="2" t="s">
        <v>1095</v>
      </c>
      <c r="E166" s="17" t="s">
        <v>1144</v>
      </c>
      <c r="F166" s="2">
        <f t="shared" si="5"/>
        <v>1</v>
      </c>
    </row>
    <row r="167" spans="1:6" x14ac:dyDescent="0.3">
      <c r="A167" s="2" t="s">
        <v>698</v>
      </c>
      <c r="B167" s="2" t="s">
        <v>316</v>
      </c>
      <c r="C167" s="16">
        <f t="shared" si="4"/>
        <v>0</v>
      </c>
      <c r="D167" s="2" t="s">
        <v>315</v>
      </c>
      <c r="E167" s="17" t="s">
        <v>1143</v>
      </c>
      <c r="F167" s="2">
        <f t="shared" si="5"/>
        <v>1</v>
      </c>
    </row>
    <row r="168" spans="1:6" x14ac:dyDescent="0.3">
      <c r="A168" s="2" t="s">
        <v>706</v>
      </c>
      <c r="B168" s="2" t="s">
        <v>316</v>
      </c>
      <c r="C168" s="16">
        <f t="shared" si="4"/>
        <v>0</v>
      </c>
      <c r="D168" s="2" t="s">
        <v>315</v>
      </c>
      <c r="E168" s="17" t="s">
        <v>1143</v>
      </c>
      <c r="F168" s="2">
        <f t="shared" si="5"/>
        <v>1</v>
      </c>
    </row>
    <row r="169" spans="1:6" x14ac:dyDescent="0.3">
      <c r="A169" s="2" t="s">
        <v>816</v>
      </c>
      <c r="B169" s="2" t="s">
        <v>316</v>
      </c>
      <c r="C169" s="16">
        <f t="shared" si="4"/>
        <v>0</v>
      </c>
      <c r="D169" s="2" t="s">
        <v>316</v>
      </c>
      <c r="E169" s="17" t="s">
        <v>1141</v>
      </c>
      <c r="F169" s="2">
        <f t="shared" si="5"/>
        <v>0</v>
      </c>
    </row>
    <row r="170" spans="1:6" x14ac:dyDescent="0.3">
      <c r="A170" s="2" t="s">
        <v>767</v>
      </c>
      <c r="B170" s="2" t="s">
        <v>316</v>
      </c>
      <c r="C170" s="16">
        <f t="shared" si="4"/>
        <v>0</v>
      </c>
      <c r="D170" s="2" t="s">
        <v>316</v>
      </c>
      <c r="E170" s="17" t="s">
        <v>1141</v>
      </c>
      <c r="F170" s="2">
        <f t="shared" si="5"/>
        <v>0</v>
      </c>
    </row>
    <row r="171" spans="1:6" x14ac:dyDescent="0.3">
      <c r="A171" s="2" t="s">
        <v>734</v>
      </c>
      <c r="B171" s="2" t="s">
        <v>316</v>
      </c>
      <c r="C171" s="16">
        <f t="shared" si="4"/>
        <v>0</v>
      </c>
      <c r="D171" s="2" t="s">
        <v>1095</v>
      </c>
      <c r="E171" s="17" t="s">
        <v>1144</v>
      </c>
      <c r="F171" s="2">
        <f t="shared" si="5"/>
        <v>1</v>
      </c>
    </row>
    <row r="172" spans="1:6" x14ac:dyDescent="0.3">
      <c r="A172" s="2" t="s">
        <v>700</v>
      </c>
      <c r="B172" s="2" t="s">
        <v>316</v>
      </c>
      <c r="C172" s="16">
        <f t="shared" si="4"/>
        <v>0</v>
      </c>
      <c r="D172" s="2" t="s">
        <v>1095</v>
      </c>
      <c r="E172" s="17" t="s">
        <v>1144</v>
      </c>
      <c r="F172" s="2">
        <f t="shared" si="5"/>
        <v>1</v>
      </c>
    </row>
    <row r="173" spans="1:6" x14ac:dyDescent="0.3">
      <c r="A173" s="2" t="s">
        <v>146</v>
      </c>
      <c r="B173" s="2" t="s">
        <v>316</v>
      </c>
      <c r="C173" s="16">
        <f t="shared" si="4"/>
        <v>0</v>
      </c>
      <c r="D173" s="2" t="s">
        <v>321</v>
      </c>
      <c r="E173" s="17" t="s">
        <v>1142</v>
      </c>
      <c r="F173" s="2">
        <f t="shared" si="5"/>
        <v>0</v>
      </c>
    </row>
    <row r="174" spans="1:6" x14ac:dyDescent="0.3">
      <c r="A174" s="2" t="s">
        <v>695</v>
      </c>
      <c r="B174" s="2" t="s">
        <v>316</v>
      </c>
      <c r="C174" s="16">
        <f t="shared" si="4"/>
        <v>0</v>
      </c>
      <c r="D174" s="2" t="s">
        <v>316</v>
      </c>
      <c r="E174" s="17" t="s">
        <v>1141</v>
      </c>
      <c r="F174" s="2">
        <f t="shared" si="5"/>
        <v>0</v>
      </c>
    </row>
    <row r="175" spans="1:6" x14ac:dyDescent="0.3">
      <c r="A175" s="2" t="s">
        <v>866</v>
      </c>
      <c r="B175" s="2" t="s">
        <v>316</v>
      </c>
      <c r="C175" s="16">
        <f t="shared" si="4"/>
        <v>0</v>
      </c>
      <c r="D175" s="2" t="s">
        <v>316</v>
      </c>
      <c r="E175" s="17" t="s">
        <v>1141</v>
      </c>
      <c r="F175" s="2">
        <f t="shared" si="5"/>
        <v>0</v>
      </c>
    </row>
    <row r="176" spans="1:6" x14ac:dyDescent="0.3">
      <c r="A176" s="2" t="s">
        <v>771</v>
      </c>
      <c r="B176" s="2" t="s">
        <v>316</v>
      </c>
      <c r="C176" s="16">
        <f t="shared" si="4"/>
        <v>0</v>
      </c>
      <c r="D176" s="2" t="s">
        <v>321</v>
      </c>
      <c r="E176" s="17" t="s">
        <v>1142</v>
      </c>
      <c r="F176" s="2">
        <f t="shared" si="5"/>
        <v>0</v>
      </c>
    </row>
    <row r="177" spans="1:6" x14ac:dyDescent="0.3">
      <c r="A177" s="2" t="s">
        <v>925</v>
      </c>
      <c r="B177" s="2" t="s">
        <v>316</v>
      </c>
      <c r="C177" s="16">
        <f t="shared" si="4"/>
        <v>0</v>
      </c>
      <c r="D177" s="2" t="s">
        <v>315</v>
      </c>
      <c r="E177" s="17" t="s">
        <v>1143</v>
      </c>
      <c r="F177" s="2">
        <f t="shared" si="5"/>
        <v>1</v>
      </c>
    </row>
    <row r="178" spans="1:6" x14ac:dyDescent="0.3">
      <c r="A178" s="2" t="s">
        <v>886</v>
      </c>
      <c r="B178" s="2" t="s">
        <v>316</v>
      </c>
      <c r="C178" s="16">
        <f t="shared" si="4"/>
        <v>0</v>
      </c>
      <c r="D178" s="2" t="s">
        <v>1095</v>
      </c>
      <c r="E178" s="17" t="s">
        <v>1144</v>
      </c>
      <c r="F178" s="2">
        <f t="shared" si="5"/>
        <v>1</v>
      </c>
    </row>
    <row r="179" spans="1:6" x14ac:dyDescent="0.3">
      <c r="A179" s="2" t="s">
        <v>229</v>
      </c>
      <c r="B179" s="2" t="s">
        <v>316</v>
      </c>
      <c r="C179" s="16">
        <f t="shared" si="4"/>
        <v>0</v>
      </c>
      <c r="D179" s="2" t="s">
        <v>321</v>
      </c>
      <c r="E179" s="17" t="s">
        <v>1142</v>
      </c>
      <c r="F179" s="2">
        <f t="shared" si="5"/>
        <v>0</v>
      </c>
    </row>
    <row r="180" spans="1:6" x14ac:dyDescent="0.3">
      <c r="A180" s="2" t="s">
        <v>782</v>
      </c>
      <c r="B180" s="2" t="s">
        <v>316</v>
      </c>
      <c r="C180" s="16">
        <f t="shared" si="4"/>
        <v>0</v>
      </c>
      <c r="D180" s="2" t="s">
        <v>315</v>
      </c>
      <c r="E180" s="17" t="s">
        <v>1143</v>
      </c>
      <c r="F180" s="2">
        <f t="shared" si="5"/>
        <v>1</v>
      </c>
    </row>
    <row r="181" spans="1:6" x14ac:dyDescent="0.3">
      <c r="A181" s="2" t="s">
        <v>788</v>
      </c>
      <c r="B181" s="2" t="s">
        <v>316</v>
      </c>
      <c r="C181" s="16">
        <f t="shared" si="4"/>
        <v>0</v>
      </c>
      <c r="D181" s="2" t="s">
        <v>321</v>
      </c>
      <c r="E181" s="17" t="s">
        <v>1142</v>
      </c>
      <c r="F181" s="2">
        <f t="shared" si="5"/>
        <v>0</v>
      </c>
    </row>
    <row r="182" spans="1:6" x14ac:dyDescent="0.3">
      <c r="A182" s="2" t="s">
        <v>715</v>
      </c>
      <c r="B182" s="2" t="s">
        <v>316</v>
      </c>
      <c r="C182" s="16">
        <f t="shared" si="4"/>
        <v>0</v>
      </c>
      <c r="D182" s="2" t="s">
        <v>1095</v>
      </c>
      <c r="E182" s="17" t="s">
        <v>1144</v>
      </c>
      <c r="F182" s="2">
        <f t="shared" si="5"/>
        <v>1</v>
      </c>
    </row>
    <row r="183" spans="1:6" x14ac:dyDescent="0.3">
      <c r="A183" s="2" t="s">
        <v>1114</v>
      </c>
      <c r="B183" s="2" t="s">
        <v>316</v>
      </c>
      <c r="C183" s="16">
        <f t="shared" si="4"/>
        <v>0</v>
      </c>
      <c r="D183" s="2" t="s">
        <v>321</v>
      </c>
      <c r="E183" s="17" t="s">
        <v>1142</v>
      </c>
      <c r="F183" s="2">
        <f t="shared" si="5"/>
        <v>0</v>
      </c>
    </row>
    <row r="184" spans="1:6" x14ac:dyDescent="0.3">
      <c r="A184" s="2" t="s">
        <v>208</v>
      </c>
      <c r="B184" s="2" t="s">
        <v>316</v>
      </c>
      <c r="C184" s="16">
        <f t="shared" si="4"/>
        <v>0</v>
      </c>
      <c r="D184" s="2" t="s">
        <v>315</v>
      </c>
      <c r="E184" s="17" t="s">
        <v>1143</v>
      </c>
      <c r="F184" s="2">
        <f t="shared" si="5"/>
        <v>1</v>
      </c>
    </row>
    <row r="185" spans="1:6" x14ac:dyDescent="0.3">
      <c r="A185" s="2" t="s">
        <v>210</v>
      </c>
      <c r="B185" s="2" t="s">
        <v>316</v>
      </c>
      <c r="C185" s="16">
        <f t="shared" si="4"/>
        <v>0</v>
      </c>
      <c r="D185" s="2" t="s">
        <v>315</v>
      </c>
      <c r="E185" s="17" t="s">
        <v>1143</v>
      </c>
      <c r="F185" s="2">
        <f t="shared" si="5"/>
        <v>1</v>
      </c>
    </row>
    <row r="186" spans="1:6" x14ac:dyDescent="0.3">
      <c r="A186" s="2" t="s">
        <v>718</v>
      </c>
      <c r="B186" s="2" t="s">
        <v>316</v>
      </c>
      <c r="C186" s="16">
        <f t="shared" si="4"/>
        <v>0</v>
      </c>
      <c r="D186" s="2" t="s">
        <v>321</v>
      </c>
      <c r="E186" s="17" t="s">
        <v>1142</v>
      </c>
      <c r="F186" s="2">
        <f t="shared" si="5"/>
        <v>0</v>
      </c>
    </row>
    <row r="187" spans="1:6" x14ac:dyDescent="0.3">
      <c r="A187" s="2" t="s">
        <v>691</v>
      </c>
      <c r="B187" s="2" t="s">
        <v>316</v>
      </c>
      <c r="C187" s="16">
        <f t="shared" si="4"/>
        <v>0</v>
      </c>
      <c r="D187" s="2" t="s">
        <v>316</v>
      </c>
      <c r="E187" s="17" t="s">
        <v>1141</v>
      </c>
      <c r="F187" s="2">
        <f t="shared" si="5"/>
        <v>0</v>
      </c>
    </row>
    <row r="188" spans="1:6" x14ac:dyDescent="0.3">
      <c r="A188" s="2" t="s">
        <v>949</v>
      </c>
      <c r="B188" s="2" t="s">
        <v>316</v>
      </c>
      <c r="C188" s="16">
        <f t="shared" si="4"/>
        <v>0</v>
      </c>
      <c r="D188" s="2" t="s">
        <v>1095</v>
      </c>
      <c r="E188" s="17" t="s">
        <v>1144</v>
      </c>
      <c r="F188" s="2">
        <f t="shared" si="5"/>
        <v>1</v>
      </c>
    </row>
    <row r="189" spans="1:6" x14ac:dyDescent="0.3">
      <c r="A189" s="2" t="s">
        <v>182</v>
      </c>
      <c r="B189" s="2" t="s">
        <v>316</v>
      </c>
      <c r="C189" s="16">
        <f t="shared" si="4"/>
        <v>0</v>
      </c>
      <c r="D189" s="2" t="s">
        <v>315</v>
      </c>
      <c r="E189" s="17" t="s">
        <v>1143</v>
      </c>
      <c r="F189" s="2">
        <f t="shared" si="5"/>
        <v>1</v>
      </c>
    </row>
    <row r="190" spans="1:6" x14ac:dyDescent="0.3">
      <c r="A190" s="2" t="s">
        <v>170</v>
      </c>
      <c r="B190" s="2" t="s">
        <v>316</v>
      </c>
      <c r="C190" s="16">
        <f t="shared" si="4"/>
        <v>0</v>
      </c>
      <c r="D190" s="2" t="s">
        <v>316</v>
      </c>
      <c r="E190" s="17" t="s">
        <v>1141</v>
      </c>
      <c r="F190" s="2">
        <f t="shared" si="5"/>
        <v>0</v>
      </c>
    </row>
    <row r="191" spans="1:6" x14ac:dyDescent="0.3">
      <c r="A191" s="2" t="s">
        <v>841</v>
      </c>
      <c r="B191" s="2" t="s">
        <v>316</v>
      </c>
      <c r="C191" s="16">
        <f t="shared" si="4"/>
        <v>0</v>
      </c>
      <c r="D191" s="2" t="s">
        <v>316</v>
      </c>
      <c r="E191" s="17" t="s">
        <v>1141</v>
      </c>
      <c r="F191" s="2">
        <f t="shared" si="5"/>
        <v>0</v>
      </c>
    </row>
    <row r="192" spans="1:6" x14ac:dyDescent="0.3">
      <c r="A192" s="2" t="s">
        <v>785</v>
      </c>
      <c r="B192" s="2" t="s">
        <v>316</v>
      </c>
      <c r="C192" s="16">
        <f t="shared" si="4"/>
        <v>0</v>
      </c>
      <c r="D192" s="2" t="s">
        <v>316</v>
      </c>
      <c r="E192" s="17" t="s">
        <v>1141</v>
      </c>
      <c r="F192" s="2">
        <f t="shared" si="5"/>
        <v>0</v>
      </c>
    </row>
    <row r="193" spans="1:6" x14ac:dyDescent="0.3">
      <c r="A193" s="2" t="s">
        <v>662</v>
      </c>
      <c r="B193" s="2" t="s">
        <v>316</v>
      </c>
      <c r="C193" s="16">
        <f t="shared" si="4"/>
        <v>0</v>
      </c>
      <c r="D193" s="2" t="s">
        <v>316</v>
      </c>
      <c r="E193" s="17" t="s">
        <v>1141</v>
      </c>
      <c r="F193" s="2">
        <f t="shared" si="5"/>
        <v>0</v>
      </c>
    </row>
    <row r="194" spans="1:6" x14ac:dyDescent="0.3">
      <c r="A194" s="2" t="s">
        <v>946</v>
      </c>
      <c r="B194" s="2" t="s">
        <v>316</v>
      </c>
      <c r="C194" s="16">
        <f t="shared" ref="C194:C257" si="6">IF(B194="Yes",1,0)</f>
        <v>0</v>
      </c>
      <c r="D194" s="2" t="s">
        <v>315</v>
      </c>
      <c r="E194" s="17" t="s">
        <v>1143</v>
      </c>
      <c r="F194" s="2">
        <f t="shared" ref="F194:F257" si="7">IF(OR(E194="Low risk",E194="Medium risk"),0,1)</f>
        <v>1</v>
      </c>
    </row>
    <row r="195" spans="1:6" x14ac:dyDescent="0.3">
      <c r="A195" s="2" t="s">
        <v>944</v>
      </c>
      <c r="B195" s="2" t="s">
        <v>316</v>
      </c>
      <c r="C195" s="16">
        <f t="shared" si="6"/>
        <v>0</v>
      </c>
      <c r="D195" s="2" t="s">
        <v>1095</v>
      </c>
      <c r="E195" s="17" t="s">
        <v>1144</v>
      </c>
      <c r="F195" s="2">
        <f t="shared" si="7"/>
        <v>1</v>
      </c>
    </row>
    <row r="196" spans="1:6" x14ac:dyDescent="0.3">
      <c r="A196" s="2" t="s">
        <v>733</v>
      </c>
      <c r="B196" s="2" t="s">
        <v>316</v>
      </c>
      <c r="C196" s="16">
        <f t="shared" si="6"/>
        <v>0</v>
      </c>
      <c r="D196" s="2" t="s">
        <v>315</v>
      </c>
      <c r="E196" s="17" t="s">
        <v>1143</v>
      </c>
      <c r="F196" s="2">
        <f t="shared" si="7"/>
        <v>1</v>
      </c>
    </row>
    <row r="197" spans="1:6" x14ac:dyDescent="0.3">
      <c r="A197" s="2" t="s">
        <v>834</v>
      </c>
      <c r="B197" s="2" t="s">
        <v>316</v>
      </c>
      <c r="C197" s="16">
        <f t="shared" si="6"/>
        <v>0</v>
      </c>
      <c r="D197" s="2" t="s">
        <v>316</v>
      </c>
      <c r="E197" s="17" t="s">
        <v>1141</v>
      </c>
      <c r="F197" s="2">
        <f t="shared" si="7"/>
        <v>0</v>
      </c>
    </row>
    <row r="198" spans="1:6" x14ac:dyDescent="0.3">
      <c r="A198" s="2" t="s">
        <v>948</v>
      </c>
      <c r="B198" s="2" t="s">
        <v>316</v>
      </c>
      <c r="C198" s="16">
        <f t="shared" si="6"/>
        <v>0</v>
      </c>
      <c r="D198" s="2" t="s">
        <v>321</v>
      </c>
      <c r="E198" s="17" t="s">
        <v>1142</v>
      </c>
      <c r="F198" s="2">
        <f t="shared" si="7"/>
        <v>0</v>
      </c>
    </row>
    <row r="199" spans="1:6" x14ac:dyDescent="0.3">
      <c r="A199" s="2" t="s">
        <v>938</v>
      </c>
      <c r="B199" s="2" t="s">
        <v>315</v>
      </c>
      <c r="C199" s="16">
        <f t="shared" si="6"/>
        <v>1</v>
      </c>
      <c r="D199" s="2" t="s">
        <v>316</v>
      </c>
      <c r="E199" s="17" t="s">
        <v>1141</v>
      </c>
      <c r="F199" s="2">
        <f t="shared" si="7"/>
        <v>0</v>
      </c>
    </row>
    <row r="200" spans="1:6" x14ac:dyDescent="0.3">
      <c r="A200" s="2" t="s">
        <v>859</v>
      </c>
      <c r="B200" s="2" t="s">
        <v>315</v>
      </c>
      <c r="C200" s="16">
        <f t="shared" si="6"/>
        <v>1</v>
      </c>
      <c r="D200" s="2" t="s">
        <v>321</v>
      </c>
      <c r="E200" s="17" t="s">
        <v>1142</v>
      </c>
      <c r="F200" s="2">
        <f t="shared" si="7"/>
        <v>0</v>
      </c>
    </row>
    <row r="201" spans="1:6" x14ac:dyDescent="0.3">
      <c r="A201" s="2" t="s">
        <v>134</v>
      </c>
      <c r="B201" s="2" t="s">
        <v>315</v>
      </c>
      <c r="C201" s="16">
        <f t="shared" si="6"/>
        <v>1</v>
      </c>
      <c r="D201" s="2" t="s">
        <v>322</v>
      </c>
      <c r="E201" s="17" t="s">
        <v>1140</v>
      </c>
      <c r="F201" s="2">
        <f t="shared" si="7"/>
        <v>1</v>
      </c>
    </row>
    <row r="202" spans="1:6" x14ac:dyDescent="0.3">
      <c r="A202" s="2" t="s">
        <v>890</v>
      </c>
      <c r="B202" s="2" t="s">
        <v>315</v>
      </c>
      <c r="C202" s="16">
        <f t="shared" si="6"/>
        <v>1</v>
      </c>
      <c r="D202" s="2" t="s">
        <v>316</v>
      </c>
      <c r="E202" s="17" t="s">
        <v>1141</v>
      </c>
      <c r="F202" s="2">
        <f t="shared" si="7"/>
        <v>0</v>
      </c>
    </row>
    <row r="203" spans="1:6" x14ac:dyDescent="0.3">
      <c r="A203" s="2" t="s">
        <v>851</v>
      </c>
      <c r="B203" s="2" t="s">
        <v>315</v>
      </c>
      <c r="C203" s="16">
        <f t="shared" si="6"/>
        <v>1</v>
      </c>
      <c r="D203" s="2" t="s">
        <v>321</v>
      </c>
      <c r="E203" s="17" t="s">
        <v>1142</v>
      </c>
      <c r="F203" s="2">
        <f t="shared" si="7"/>
        <v>0</v>
      </c>
    </row>
    <row r="204" spans="1:6" x14ac:dyDescent="0.3">
      <c r="A204" s="2" t="s">
        <v>720</v>
      </c>
      <c r="B204" s="2" t="s">
        <v>315</v>
      </c>
      <c r="C204" s="16">
        <f t="shared" si="6"/>
        <v>1</v>
      </c>
      <c r="D204" s="2" t="s">
        <v>322</v>
      </c>
      <c r="E204" s="17" t="s">
        <v>1140</v>
      </c>
      <c r="F204" s="2">
        <f t="shared" si="7"/>
        <v>1</v>
      </c>
    </row>
    <row r="205" spans="1:6" x14ac:dyDescent="0.3">
      <c r="A205" s="2" t="s">
        <v>913</v>
      </c>
      <c r="B205" s="2" t="s">
        <v>315</v>
      </c>
      <c r="C205" s="16">
        <f t="shared" si="6"/>
        <v>1</v>
      </c>
      <c r="D205" s="2" t="s">
        <v>322</v>
      </c>
      <c r="E205" s="17" t="s">
        <v>1140</v>
      </c>
      <c r="F205" s="2">
        <f t="shared" si="7"/>
        <v>1</v>
      </c>
    </row>
    <row r="206" spans="1:6" x14ac:dyDescent="0.3">
      <c r="A206" s="2" t="s">
        <v>777</v>
      </c>
      <c r="B206" s="2" t="s">
        <v>315</v>
      </c>
      <c r="C206" s="16">
        <f t="shared" si="6"/>
        <v>1</v>
      </c>
      <c r="D206" s="2" t="s">
        <v>322</v>
      </c>
      <c r="E206" s="17" t="s">
        <v>1140</v>
      </c>
      <c r="F206" s="2">
        <f t="shared" si="7"/>
        <v>1</v>
      </c>
    </row>
    <row r="207" spans="1:6" x14ac:dyDescent="0.3">
      <c r="A207" s="2" t="s">
        <v>739</v>
      </c>
      <c r="B207" s="2" t="s">
        <v>315</v>
      </c>
      <c r="C207" s="16">
        <f t="shared" si="6"/>
        <v>1</v>
      </c>
      <c r="D207" s="2" t="s">
        <v>322</v>
      </c>
      <c r="E207" s="17" t="s">
        <v>1140</v>
      </c>
      <c r="F207" s="2">
        <f t="shared" si="7"/>
        <v>1</v>
      </c>
    </row>
    <row r="208" spans="1:6" x14ac:dyDescent="0.3">
      <c r="A208" s="2" t="s">
        <v>773</v>
      </c>
      <c r="B208" s="2" t="s">
        <v>315</v>
      </c>
      <c r="C208" s="16">
        <f t="shared" si="6"/>
        <v>1</v>
      </c>
      <c r="D208" s="2" t="s">
        <v>322</v>
      </c>
      <c r="E208" s="17" t="s">
        <v>1140</v>
      </c>
      <c r="F208" s="2">
        <f t="shared" si="7"/>
        <v>1</v>
      </c>
    </row>
    <row r="209" spans="1:6" x14ac:dyDescent="0.3">
      <c r="A209" s="2" t="s">
        <v>789</v>
      </c>
      <c r="B209" s="2" t="s">
        <v>315</v>
      </c>
      <c r="C209" s="16">
        <f t="shared" si="6"/>
        <v>1</v>
      </c>
      <c r="D209" s="2" t="s">
        <v>316</v>
      </c>
      <c r="E209" s="17" t="s">
        <v>1141</v>
      </c>
      <c r="F209" s="2">
        <f t="shared" si="7"/>
        <v>0</v>
      </c>
    </row>
    <row r="210" spans="1:6" x14ac:dyDescent="0.3">
      <c r="A210" s="2" t="s">
        <v>194</v>
      </c>
      <c r="B210" s="2" t="s">
        <v>315</v>
      </c>
      <c r="C210" s="16">
        <f t="shared" si="6"/>
        <v>1</v>
      </c>
      <c r="D210" s="2" t="s">
        <v>316</v>
      </c>
      <c r="E210" s="17" t="s">
        <v>1141</v>
      </c>
      <c r="F210" s="2">
        <f t="shared" si="7"/>
        <v>0</v>
      </c>
    </row>
    <row r="211" spans="1:6" x14ac:dyDescent="0.3">
      <c r="A211" s="2" t="s">
        <v>906</v>
      </c>
      <c r="B211" s="2" t="s">
        <v>315</v>
      </c>
      <c r="C211" s="16">
        <f t="shared" si="6"/>
        <v>1</v>
      </c>
      <c r="D211" s="2" t="s">
        <v>321</v>
      </c>
      <c r="E211" s="17" t="s">
        <v>1142</v>
      </c>
      <c r="F211" s="2">
        <f t="shared" si="7"/>
        <v>0</v>
      </c>
    </row>
    <row r="212" spans="1:6" x14ac:dyDescent="0.3">
      <c r="A212" s="2" t="s">
        <v>183</v>
      </c>
      <c r="B212" s="2" t="s">
        <v>315</v>
      </c>
      <c r="C212" s="16">
        <f t="shared" si="6"/>
        <v>1</v>
      </c>
      <c r="D212" s="2" t="s">
        <v>322</v>
      </c>
      <c r="E212" s="17" t="s">
        <v>1140</v>
      </c>
      <c r="F212" s="2">
        <f t="shared" si="7"/>
        <v>1</v>
      </c>
    </row>
    <row r="213" spans="1:6" x14ac:dyDescent="0.3">
      <c r="A213" s="2" t="s">
        <v>854</v>
      </c>
      <c r="B213" s="2" t="s">
        <v>315</v>
      </c>
      <c r="C213" s="16">
        <f t="shared" si="6"/>
        <v>1</v>
      </c>
      <c r="D213" s="2" t="s">
        <v>316</v>
      </c>
      <c r="E213" s="17" t="s">
        <v>1141</v>
      </c>
      <c r="F213" s="2">
        <f t="shared" si="7"/>
        <v>0</v>
      </c>
    </row>
    <row r="214" spans="1:6" x14ac:dyDescent="0.3">
      <c r="A214" s="2" t="s">
        <v>230</v>
      </c>
      <c r="B214" s="2" t="s">
        <v>315</v>
      </c>
      <c r="C214" s="16">
        <f t="shared" si="6"/>
        <v>1</v>
      </c>
      <c r="D214" s="2" t="s">
        <v>316</v>
      </c>
      <c r="E214" s="17" t="s">
        <v>1141</v>
      </c>
      <c r="F214" s="2">
        <f t="shared" si="7"/>
        <v>0</v>
      </c>
    </row>
    <row r="215" spans="1:6" x14ac:dyDescent="0.3">
      <c r="A215" s="2" t="s">
        <v>897</v>
      </c>
      <c r="B215" s="2" t="s">
        <v>315</v>
      </c>
      <c r="C215" s="16">
        <f t="shared" si="6"/>
        <v>1</v>
      </c>
      <c r="D215" s="2" t="s">
        <v>321</v>
      </c>
      <c r="E215" s="17" t="s">
        <v>1142</v>
      </c>
      <c r="F215" s="2">
        <f t="shared" si="7"/>
        <v>0</v>
      </c>
    </row>
    <row r="216" spans="1:6" x14ac:dyDescent="0.3">
      <c r="A216" s="2" t="s">
        <v>772</v>
      </c>
      <c r="B216" s="2" t="s">
        <v>315</v>
      </c>
      <c r="C216" s="16">
        <f t="shared" si="6"/>
        <v>1</v>
      </c>
      <c r="D216" s="2" t="s">
        <v>321</v>
      </c>
      <c r="E216" s="17" t="s">
        <v>1142</v>
      </c>
      <c r="F216" s="2">
        <f t="shared" si="7"/>
        <v>0</v>
      </c>
    </row>
    <row r="217" spans="1:6" x14ac:dyDescent="0.3">
      <c r="A217" s="2" t="s">
        <v>209</v>
      </c>
      <c r="B217" s="2" t="s">
        <v>315</v>
      </c>
      <c r="C217" s="16">
        <f t="shared" si="6"/>
        <v>1</v>
      </c>
      <c r="D217" s="2" t="s">
        <v>321</v>
      </c>
      <c r="E217" s="17" t="s">
        <v>1142</v>
      </c>
      <c r="F217" s="2">
        <f t="shared" si="7"/>
        <v>0</v>
      </c>
    </row>
    <row r="218" spans="1:6" x14ac:dyDescent="0.3">
      <c r="A218" s="2" t="s">
        <v>731</v>
      </c>
      <c r="B218" s="2" t="s">
        <v>315</v>
      </c>
      <c r="C218" s="16">
        <f t="shared" si="6"/>
        <v>1</v>
      </c>
      <c r="D218" s="2" t="s">
        <v>322</v>
      </c>
      <c r="E218" s="17" t="s">
        <v>1140</v>
      </c>
      <c r="F218" s="2">
        <f t="shared" si="7"/>
        <v>1</v>
      </c>
    </row>
    <row r="219" spans="1:6" x14ac:dyDescent="0.3">
      <c r="A219" s="2" t="s">
        <v>756</v>
      </c>
      <c r="B219" s="2" t="s">
        <v>315</v>
      </c>
      <c r="C219" s="16">
        <f t="shared" si="6"/>
        <v>1</v>
      </c>
      <c r="D219" s="2" t="s">
        <v>316</v>
      </c>
      <c r="E219" s="17" t="s">
        <v>1141</v>
      </c>
      <c r="F219" s="2">
        <f t="shared" si="7"/>
        <v>0</v>
      </c>
    </row>
    <row r="220" spans="1:6" x14ac:dyDescent="0.3">
      <c r="A220" s="2" t="s">
        <v>801</v>
      </c>
      <c r="B220" s="2" t="s">
        <v>315</v>
      </c>
      <c r="C220" s="16">
        <f t="shared" si="6"/>
        <v>1</v>
      </c>
      <c r="D220" s="2" t="s">
        <v>321</v>
      </c>
      <c r="E220" s="17" t="s">
        <v>1142</v>
      </c>
      <c r="F220" s="2">
        <f t="shared" si="7"/>
        <v>0</v>
      </c>
    </row>
    <row r="221" spans="1:6" x14ac:dyDescent="0.3">
      <c r="A221" s="2" t="s">
        <v>883</v>
      </c>
      <c r="B221" s="2" t="s">
        <v>315</v>
      </c>
      <c r="C221" s="16">
        <f t="shared" si="6"/>
        <v>1</v>
      </c>
      <c r="D221" s="2" t="s">
        <v>321</v>
      </c>
      <c r="E221" s="17" t="s">
        <v>1142</v>
      </c>
      <c r="F221" s="2">
        <f t="shared" si="7"/>
        <v>0</v>
      </c>
    </row>
    <row r="222" spans="1:6" x14ac:dyDescent="0.3">
      <c r="A222" s="2" t="s">
        <v>159</v>
      </c>
      <c r="B222" s="2" t="s">
        <v>315</v>
      </c>
      <c r="C222" s="16">
        <f t="shared" si="6"/>
        <v>1</v>
      </c>
      <c r="D222" s="2" t="s">
        <v>316</v>
      </c>
      <c r="E222" s="17" t="s">
        <v>1141</v>
      </c>
      <c r="F222" s="2">
        <f t="shared" si="7"/>
        <v>0</v>
      </c>
    </row>
    <row r="223" spans="1:6" x14ac:dyDescent="0.3">
      <c r="A223" s="2" t="s">
        <v>916</v>
      </c>
      <c r="B223" s="2" t="s">
        <v>315</v>
      </c>
      <c r="C223" s="16">
        <f t="shared" si="6"/>
        <v>1</v>
      </c>
      <c r="D223" s="2" t="s">
        <v>322</v>
      </c>
      <c r="E223" s="17" t="s">
        <v>1140</v>
      </c>
      <c r="F223" s="2">
        <f t="shared" si="7"/>
        <v>1</v>
      </c>
    </row>
    <row r="224" spans="1:6" x14ac:dyDescent="0.3">
      <c r="A224" s="2" t="s">
        <v>848</v>
      </c>
      <c r="B224" s="2" t="s">
        <v>315</v>
      </c>
      <c r="C224" s="16">
        <f t="shared" si="6"/>
        <v>1</v>
      </c>
      <c r="D224" s="2" t="s">
        <v>316</v>
      </c>
      <c r="E224" s="17" t="s">
        <v>1141</v>
      </c>
      <c r="F224" s="2">
        <f t="shared" si="7"/>
        <v>0</v>
      </c>
    </row>
    <row r="225" spans="1:6" x14ac:dyDescent="0.3">
      <c r="A225" s="2" t="s">
        <v>766</v>
      </c>
      <c r="B225" s="2" t="s">
        <v>315</v>
      </c>
      <c r="C225" s="16">
        <f t="shared" si="6"/>
        <v>1</v>
      </c>
      <c r="D225" s="2" t="s">
        <v>322</v>
      </c>
      <c r="E225" s="17" t="s">
        <v>1140</v>
      </c>
      <c r="F225" s="2">
        <f t="shared" si="7"/>
        <v>1</v>
      </c>
    </row>
    <row r="226" spans="1:6" x14ac:dyDescent="0.3">
      <c r="A226" s="2" t="s">
        <v>204</v>
      </c>
      <c r="B226" s="2" t="s">
        <v>315</v>
      </c>
      <c r="C226" s="16">
        <f t="shared" si="6"/>
        <v>1</v>
      </c>
      <c r="D226" s="2" t="s">
        <v>321</v>
      </c>
      <c r="E226" s="17" t="s">
        <v>1142</v>
      </c>
      <c r="F226" s="2">
        <f t="shared" si="7"/>
        <v>0</v>
      </c>
    </row>
    <row r="227" spans="1:6" x14ac:dyDescent="0.3">
      <c r="A227" s="2" t="s">
        <v>745</v>
      </c>
      <c r="B227" s="2" t="s">
        <v>315</v>
      </c>
      <c r="C227" s="16">
        <f t="shared" si="6"/>
        <v>1</v>
      </c>
      <c r="D227" s="2" t="s">
        <v>322</v>
      </c>
      <c r="E227" s="17" t="s">
        <v>1140</v>
      </c>
      <c r="F227" s="2">
        <f t="shared" si="7"/>
        <v>1</v>
      </c>
    </row>
    <row r="228" spans="1:6" x14ac:dyDescent="0.3">
      <c r="A228" s="2" t="s">
        <v>719</v>
      </c>
      <c r="B228" s="2" t="s">
        <v>315</v>
      </c>
      <c r="C228" s="16">
        <f t="shared" si="6"/>
        <v>1</v>
      </c>
      <c r="D228" s="2" t="s">
        <v>321</v>
      </c>
      <c r="E228" s="17" t="s">
        <v>1142</v>
      </c>
      <c r="F228" s="2">
        <f t="shared" si="7"/>
        <v>0</v>
      </c>
    </row>
    <row r="229" spans="1:6" x14ac:dyDescent="0.3">
      <c r="A229" s="2" t="s">
        <v>1110</v>
      </c>
      <c r="B229" s="2" t="s">
        <v>315</v>
      </c>
      <c r="C229" s="16">
        <f t="shared" si="6"/>
        <v>1</v>
      </c>
      <c r="D229" s="2" t="s">
        <v>316</v>
      </c>
      <c r="E229" s="17" t="s">
        <v>1141</v>
      </c>
      <c r="F229" s="2">
        <f t="shared" si="7"/>
        <v>0</v>
      </c>
    </row>
    <row r="230" spans="1:6" x14ac:dyDescent="0.3">
      <c r="A230" s="2" t="s">
        <v>764</v>
      </c>
      <c r="B230" s="2" t="s">
        <v>315</v>
      </c>
      <c r="C230" s="16">
        <f t="shared" si="6"/>
        <v>1</v>
      </c>
      <c r="D230" s="2" t="s">
        <v>316</v>
      </c>
      <c r="E230" s="17" t="s">
        <v>1141</v>
      </c>
      <c r="F230" s="2">
        <f t="shared" si="7"/>
        <v>0</v>
      </c>
    </row>
    <row r="231" spans="1:6" x14ac:dyDescent="0.3">
      <c r="A231" s="2" t="s">
        <v>743</v>
      </c>
      <c r="B231" s="2" t="s">
        <v>315</v>
      </c>
      <c r="C231" s="16">
        <f t="shared" si="6"/>
        <v>1</v>
      </c>
      <c r="D231" s="2" t="s">
        <v>322</v>
      </c>
      <c r="E231" s="17" t="s">
        <v>1140</v>
      </c>
      <c r="F231" s="2">
        <f t="shared" si="7"/>
        <v>1</v>
      </c>
    </row>
    <row r="232" spans="1:6" x14ac:dyDescent="0.3">
      <c r="A232" s="2" t="s">
        <v>672</v>
      </c>
      <c r="B232" s="2" t="s">
        <v>315</v>
      </c>
      <c r="C232" s="16">
        <f t="shared" si="6"/>
        <v>1</v>
      </c>
      <c r="D232" s="2" t="s">
        <v>321</v>
      </c>
      <c r="E232" s="17" t="s">
        <v>1142</v>
      </c>
      <c r="F232" s="2">
        <f t="shared" si="7"/>
        <v>0</v>
      </c>
    </row>
    <row r="233" spans="1:6" x14ac:dyDescent="0.3">
      <c r="A233" s="2" t="s">
        <v>863</v>
      </c>
      <c r="B233" s="2" t="s">
        <v>315</v>
      </c>
      <c r="C233" s="16">
        <f t="shared" si="6"/>
        <v>1</v>
      </c>
      <c r="D233" s="2" t="s">
        <v>321</v>
      </c>
      <c r="E233" s="17" t="s">
        <v>1142</v>
      </c>
      <c r="F233" s="2">
        <f t="shared" si="7"/>
        <v>0</v>
      </c>
    </row>
    <row r="234" spans="1:6" x14ac:dyDescent="0.3">
      <c r="A234" s="2" t="s">
        <v>175</v>
      </c>
      <c r="B234" s="2" t="s">
        <v>315</v>
      </c>
      <c r="C234" s="16">
        <f t="shared" si="6"/>
        <v>1</v>
      </c>
      <c r="D234" s="2" t="s">
        <v>316</v>
      </c>
      <c r="E234" s="17" t="s">
        <v>1141</v>
      </c>
      <c r="F234" s="2">
        <f t="shared" si="7"/>
        <v>0</v>
      </c>
    </row>
    <row r="235" spans="1:6" x14ac:dyDescent="0.3">
      <c r="A235" s="2" t="s">
        <v>901</v>
      </c>
      <c r="B235" s="2" t="s">
        <v>315</v>
      </c>
      <c r="C235" s="16">
        <f t="shared" si="6"/>
        <v>1</v>
      </c>
      <c r="D235" s="2" t="s">
        <v>322</v>
      </c>
      <c r="E235" s="17" t="s">
        <v>1140</v>
      </c>
      <c r="F235" s="2">
        <f t="shared" si="7"/>
        <v>1</v>
      </c>
    </row>
    <row r="236" spans="1:6" x14ac:dyDescent="0.3">
      <c r="A236" s="2" t="s">
        <v>795</v>
      </c>
      <c r="B236" s="2" t="s">
        <v>315</v>
      </c>
      <c r="C236" s="16">
        <f t="shared" si="6"/>
        <v>1</v>
      </c>
      <c r="D236" s="2" t="s">
        <v>321</v>
      </c>
      <c r="E236" s="17" t="s">
        <v>1142</v>
      </c>
      <c r="F236" s="2">
        <f t="shared" si="7"/>
        <v>0</v>
      </c>
    </row>
    <row r="237" spans="1:6" x14ac:dyDescent="0.3">
      <c r="A237" s="2" t="s">
        <v>899</v>
      </c>
      <c r="B237" s="2" t="s">
        <v>315</v>
      </c>
      <c r="C237" s="16">
        <f t="shared" si="6"/>
        <v>1</v>
      </c>
      <c r="D237" s="2" t="s">
        <v>316</v>
      </c>
      <c r="E237" s="17" t="s">
        <v>1141</v>
      </c>
      <c r="F237" s="2">
        <f t="shared" si="7"/>
        <v>0</v>
      </c>
    </row>
    <row r="238" spans="1:6" x14ac:dyDescent="0.3">
      <c r="A238" s="2" t="s">
        <v>131</v>
      </c>
      <c r="B238" s="2" t="s">
        <v>315</v>
      </c>
      <c r="C238" s="16">
        <f t="shared" si="6"/>
        <v>1</v>
      </c>
      <c r="D238" s="2" t="s">
        <v>322</v>
      </c>
      <c r="E238" s="17" t="s">
        <v>1140</v>
      </c>
      <c r="F238" s="2">
        <f t="shared" si="7"/>
        <v>1</v>
      </c>
    </row>
    <row r="239" spans="1:6" x14ac:dyDescent="0.3">
      <c r="A239" s="2" t="s">
        <v>763</v>
      </c>
      <c r="B239" s="2" t="s">
        <v>315</v>
      </c>
      <c r="C239" s="16">
        <f t="shared" si="6"/>
        <v>1</v>
      </c>
      <c r="D239" s="2" t="s">
        <v>316</v>
      </c>
      <c r="E239" s="17" t="s">
        <v>1141</v>
      </c>
      <c r="F239" s="2">
        <f t="shared" si="7"/>
        <v>0</v>
      </c>
    </row>
    <row r="240" spans="1:6" x14ac:dyDescent="0.3">
      <c r="A240" s="2" t="s">
        <v>694</v>
      </c>
      <c r="B240" s="2" t="s">
        <v>315</v>
      </c>
      <c r="C240" s="16">
        <f t="shared" si="6"/>
        <v>1</v>
      </c>
      <c r="D240" s="2" t="s">
        <v>322</v>
      </c>
      <c r="E240" s="17" t="s">
        <v>1140</v>
      </c>
      <c r="F240" s="2">
        <f t="shared" si="7"/>
        <v>1</v>
      </c>
    </row>
    <row r="241" spans="1:6" x14ac:dyDescent="0.3">
      <c r="A241" s="2" t="s">
        <v>716</v>
      </c>
      <c r="B241" s="2" t="s">
        <v>315</v>
      </c>
      <c r="C241" s="16">
        <f t="shared" si="6"/>
        <v>1</v>
      </c>
      <c r="D241" s="2" t="s">
        <v>322</v>
      </c>
      <c r="E241" s="17" t="s">
        <v>1140</v>
      </c>
      <c r="F241" s="2">
        <f t="shared" si="7"/>
        <v>1</v>
      </c>
    </row>
    <row r="242" spans="1:6" x14ac:dyDescent="0.3">
      <c r="A242" s="2" t="s">
        <v>181</v>
      </c>
      <c r="B242" s="2" t="s">
        <v>315</v>
      </c>
      <c r="C242" s="16">
        <f t="shared" si="6"/>
        <v>1</v>
      </c>
      <c r="D242" s="2" t="s">
        <v>322</v>
      </c>
      <c r="E242" s="17" t="s">
        <v>1140</v>
      </c>
      <c r="F242" s="2">
        <f t="shared" si="7"/>
        <v>1</v>
      </c>
    </row>
    <row r="243" spans="1:6" x14ac:dyDescent="0.3">
      <c r="A243" s="2" t="s">
        <v>831</v>
      </c>
      <c r="B243" s="2" t="s">
        <v>315</v>
      </c>
      <c r="C243" s="16">
        <f t="shared" si="6"/>
        <v>1</v>
      </c>
      <c r="D243" s="2" t="s">
        <v>322</v>
      </c>
      <c r="E243" s="17" t="s">
        <v>1140</v>
      </c>
      <c r="F243" s="2">
        <f t="shared" si="7"/>
        <v>1</v>
      </c>
    </row>
    <row r="244" spans="1:6" x14ac:dyDescent="0.3">
      <c r="A244" s="2" t="s">
        <v>821</v>
      </c>
      <c r="B244" s="2" t="s">
        <v>315</v>
      </c>
      <c r="C244" s="16">
        <f t="shared" si="6"/>
        <v>1</v>
      </c>
      <c r="D244" s="2" t="s">
        <v>1095</v>
      </c>
      <c r="E244" s="17" t="s">
        <v>1144</v>
      </c>
      <c r="F244" s="2">
        <f t="shared" si="7"/>
        <v>1</v>
      </c>
    </row>
    <row r="245" spans="1:6" x14ac:dyDescent="0.3">
      <c r="A245" s="2" t="s">
        <v>813</v>
      </c>
      <c r="B245" s="2" t="s">
        <v>315</v>
      </c>
      <c r="C245" s="16">
        <f t="shared" si="6"/>
        <v>1</v>
      </c>
      <c r="D245" s="2" t="s">
        <v>316</v>
      </c>
      <c r="E245" s="17" t="s">
        <v>1141</v>
      </c>
      <c r="F245" s="2">
        <f t="shared" si="7"/>
        <v>0</v>
      </c>
    </row>
    <row r="246" spans="1:6" x14ac:dyDescent="0.3">
      <c r="A246" s="2" t="s">
        <v>160</v>
      </c>
      <c r="B246" s="2" t="s">
        <v>315</v>
      </c>
      <c r="C246" s="16">
        <f t="shared" si="6"/>
        <v>1</v>
      </c>
      <c r="D246" s="2" t="s">
        <v>321</v>
      </c>
      <c r="E246" s="17" t="s">
        <v>1142</v>
      </c>
      <c r="F246" s="2">
        <f t="shared" si="7"/>
        <v>0</v>
      </c>
    </row>
    <row r="247" spans="1:6" x14ac:dyDescent="0.3">
      <c r="A247" s="2" t="s">
        <v>829</v>
      </c>
      <c r="B247" s="2" t="s">
        <v>315</v>
      </c>
      <c r="C247" s="16">
        <f t="shared" si="6"/>
        <v>1</v>
      </c>
      <c r="D247" s="2" t="s">
        <v>316</v>
      </c>
      <c r="E247" s="17" t="s">
        <v>1141</v>
      </c>
      <c r="F247" s="2">
        <f t="shared" si="7"/>
        <v>0</v>
      </c>
    </row>
    <row r="248" spans="1:6" x14ac:dyDescent="0.3">
      <c r="A248" s="2" t="s">
        <v>1106</v>
      </c>
      <c r="B248" s="2" t="s">
        <v>315</v>
      </c>
      <c r="C248" s="16">
        <f t="shared" si="6"/>
        <v>1</v>
      </c>
      <c r="D248" s="2" t="s">
        <v>316</v>
      </c>
      <c r="E248" s="17" t="s">
        <v>1141</v>
      </c>
      <c r="F248" s="2">
        <f t="shared" si="7"/>
        <v>0</v>
      </c>
    </row>
    <row r="249" spans="1:6" x14ac:dyDescent="0.3">
      <c r="A249" s="2" t="s">
        <v>705</v>
      </c>
      <c r="B249" s="2" t="s">
        <v>315</v>
      </c>
      <c r="C249" s="16">
        <f t="shared" si="6"/>
        <v>1</v>
      </c>
      <c r="D249" s="2" t="s">
        <v>315</v>
      </c>
      <c r="E249" s="17" t="s">
        <v>1143</v>
      </c>
      <c r="F249" s="2">
        <f t="shared" si="7"/>
        <v>1</v>
      </c>
    </row>
    <row r="250" spans="1:6" x14ac:dyDescent="0.3">
      <c r="A250" s="2" t="s">
        <v>793</v>
      </c>
      <c r="B250" s="2" t="s">
        <v>315</v>
      </c>
      <c r="C250" s="16">
        <f t="shared" si="6"/>
        <v>1</v>
      </c>
      <c r="D250" s="2" t="s">
        <v>321</v>
      </c>
      <c r="E250" s="17" t="s">
        <v>1142</v>
      </c>
      <c r="F250" s="2">
        <f t="shared" si="7"/>
        <v>0</v>
      </c>
    </row>
    <row r="251" spans="1:6" x14ac:dyDescent="0.3">
      <c r="A251" s="2" t="s">
        <v>790</v>
      </c>
      <c r="B251" s="2" t="s">
        <v>315</v>
      </c>
      <c r="C251" s="16">
        <f t="shared" si="6"/>
        <v>1</v>
      </c>
      <c r="D251" s="2" t="s">
        <v>316</v>
      </c>
      <c r="E251" s="17" t="s">
        <v>1141</v>
      </c>
      <c r="F251" s="2">
        <f t="shared" si="7"/>
        <v>0</v>
      </c>
    </row>
    <row r="252" spans="1:6" x14ac:dyDescent="0.3">
      <c r="A252" s="2" t="s">
        <v>193</v>
      </c>
      <c r="B252" s="2" t="s">
        <v>315</v>
      </c>
      <c r="C252" s="16">
        <f t="shared" si="6"/>
        <v>1</v>
      </c>
      <c r="D252" s="2" t="s">
        <v>315</v>
      </c>
      <c r="E252" s="17" t="s">
        <v>1143</v>
      </c>
      <c r="F252" s="2">
        <f t="shared" si="7"/>
        <v>1</v>
      </c>
    </row>
    <row r="253" spans="1:6" x14ac:dyDescent="0.3">
      <c r="A253" s="2" t="s">
        <v>218</v>
      </c>
      <c r="B253" s="2" t="s">
        <v>315</v>
      </c>
      <c r="C253" s="16">
        <f t="shared" si="6"/>
        <v>1</v>
      </c>
      <c r="D253" s="2" t="s">
        <v>315</v>
      </c>
      <c r="E253" s="17" t="s">
        <v>1143</v>
      </c>
      <c r="F253" s="2">
        <f t="shared" si="7"/>
        <v>1</v>
      </c>
    </row>
    <row r="254" spans="1:6" x14ac:dyDescent="0.3">
      <c r="A254" s="2" t="s">
        <v>189</v>
      </c>
      <c r="B254" s="2" t="s">
        <v>315</v>
      </c>
      <c r="C254" s="16">
        <f t="shared" si="6"/>
        <v>1</v>
      </c>
      <c r="D254" s="2" t="s">
        <v>315</v>
      </c>
      <c r="E254" s="17" t="s">
        <v>1143</v>
      </c>
      <c r="F254" s="2">
        <f t="shared" si="7"/>
        <v>1</v>
      </c>
    </row>
    <row r="255" spans="1:6" x14ac:dyDescent="0.3">
      <c r="A255" s="2" t="s">
        <v>871</v>
      </c>
      <c r="B255" s="2" t="s">
        <v>315</v>
      </c>
      <c r="C255" s="16">
        <f t="shared" si="6"/>
        <v>1</v>
      </c>
      <c r="D255" s="2" t="s">
        <v>315</v>
      </c>
      <c r="E255" s="17" t="s">
        <v>1143</v>
      </c>
      <c r="F255" s="2">
        <f t="shared" si="7"/>
        <v>1</v>
      </c>
    </row>
    <row r="256" spans="1:6" x14ac:dyDescent="0.3">
      <c r="A256" s="2" t="s">
        <v>143</v>
      </c>
      <c r="B256" s="2" t="s">
        <v>315</v>
      </c>
      <c r="C256" s="16">
        <f t="shared" si="6"/>
        <v>1</v>
      </c>
      <c r="D256" s="2" t="s">
        <v>1095</v>
      </c>
      <c r="E256" s="17" t="s">
        <v>1144</v>
      </c>
      <c r="F256" s="2">
        <f t="shared" si="7"/>
        <v>1</v>
      </c>
    </row>
    <row r="257" spans="1:6" x14ac:dyDescent="0.3">
      <c r="A257" s="2" t="s">
        <v>902</v>
      </c>
      <c r="B257" s="2" t="s">
        <v>315</v>
      </c>
      <c r="C257" s="16">
        <f t="shared" si="6"/>
        <v>1</v>
      </c>
      <c r="D257" s="2" t="s">
        <v>315</v>
      </c>
      <c r="E257" s="17" t="s">
        <v>1143</v>
      </c>
      <c r="F257" s="2">
        <f t="shared" si="7"/>
        <v>1</v>
      </c>
    </row>
    <row r="258" spans="1:6" x14ac:dyDescent="0.3">
      <c r="A258" s="2" t="s">
        <v>830</v>
      </c>
      <c r="B258" s="2" t="s">
        <v>315</v>
      </c>
      <c r="C258" s="16">
        <f t="shared" ref="C258:C321" si="8">IF(B258="Yes",1,0)</f>
        <v>1</v>
      </c>
      <c r="D258" s="2" t="s">
        <v>1095</v>
      </c>
      <c r="E258" s="17" t="s">
        <v>1144</v>
      </c>
      <c r="F258" s="2">
        <f t="shared" ref="F258:F321" si="9">IF(OR(E258="Low risk",E258="Medium risk"),0,1)</f>
        <v>1</v>
      </c>
    </row>
    <row r="259" spans="1:6" x14ac:dyDescent="0.3">
      <c r="A259" s="2" t="s">
        <v>927</v>
      </c>
      <c r="B259" s="2" t="s">
        <v>315</v>
      </c>
      <c r="C259" s="16">
        <f t="shared" si="8"/>
        <v>1</v>
      </c>
      <c r="D259" s="2" t="s">
        <v>316</v>
      </c>
      <c r="E259" s="17" t="s">
        <v>1141</v>
      </c>
      <c r="F259" s="2">
        <f t="shared" si="9"/>
        <v>0</v>
      </c>
    </row>
    <row r="260" spans="1:6" x14ac:dyDescent="0.3">
      <c r="A260" s="2" t="s">
        <v>840</v>
      </c>
      <c r="B260" s="2" t="s">
        <v>315</v>
      </c>
      <c r="C260" s="16">
        <f t="shared" si="8"/>
        <v>1</v>
      </c>
      <c r="D260" s="2" t="s">
        <v>1095</v>
      </c>
      <c r="E260" s="17" t="s">
        <v>1144</v>
      </c>
      <c r="F260" s="2">
        <f t="shared" si="9"/>
        <v>1</v>
      </c>
    </row>
    <row r="261" spans="1:6" x14ac:dyDescent="0.3">
      <c r="A261" s="2" t="s">
        <v>172</v>
      </c>
      <c r="B261" s="2" t="s">
        <v>315</v>
      </c>
      <c r="C261" s="16">
        <f t="shared" si="8"/>
        <v>1</v>
      </c>
      <c r="D261" s="2" t="s">
        <v>321</v>
      </c>
      <c r="E261" s="17" t="s">
        <v>1142</v>
      </c>
      <c r="F261" s="2">
        <f t="shared" si="9"/>
        <v>0</v>
      </c>
    </row>
    <row r="262" spans="1:6" x14ac:dyDescent="0.3">
      <c r="A262" s="2" t="s">
        <v>730</v>
      </c>
      <c r="B262" s="2" t="s">
        <v>315</v>
      </c>
      <c r="C262" s="16">
        <f t="shared" si="8"/>
        <v>1</v>
      </c>
      <c r="D262" s="2" t="s">
        <v>321</v>
      </c>
      <c r="E262" s="17" t="s">
        <v>1142</v>
      </c>
      <c r="F262" s="2">
        <f t="shared" si="9"/>
        <v>0</v>
      </c>
    </row>
    <row r="263" spans="1:6" x14ac:dyDescent="0.3">
      <c r="A263" s="2" t="s">
        <v>820</v>
      </c>
      <c r="B263" s="2" t="s">
        <v>315</v>
      </c>
      <c r="C263" s="16">
        <f t="shared" si="8"/>
        <v>1</v>
      </c>
      <c r="D263" s="2" t="s">
        <v>315</v>
      </c>
      <c r="E263" s="17" t="s">
        <v>1143</v>
      </c>
      <c r="F263" s="2">
        <f t="shared" si="9"/>
        <v>1</v>
      </c>
    </row>
    <row r="264" spans="1:6" x14ac:dyDescent="0.3">
      <c r="A264" s="2" t="s">
        <v>685</v>
      </c>
      <c r="B264" s="2" t="s">
        <v>315</v>
      </c>
      <c r="C264" s="16">
        <f t="shared" si="8"/>
        <v>1</v>
      </c>
      <c r="D264" s="2" t="s">
        <v>316</v>
      </c>
      <c r="E264" s="17" t="s">
        <v>1141</v>
      </c>
      <c r="F264" s="2">
        <f t="shared" si="9"/>
        <v>0</v>
      </c>
    </row>
    <row r="265" spans="1:6" x14ac:dyDescent="0.3">
      <c r="A265" s="2" t="s">
        <v>874</v>
      </c>
      <c r="B265" s="2" t="s">
        <v>315</v>
      </c>
      <c r="C265" s="16">
        <f t="shared" si="8"/>
        <v>1</v>
      </c>
      <c r="D265" s="2" t="s">
        <v>321</v>
      </c>
      <c r="E265" s="17" t="s">
        <v>1142</v>
      </c>
      <c r="F265" s="2">
        <f t="shared" si="9"/>
        <v>0</v>
      </c>
    </row>
    <row r="266" spans="1:6" x14ac:dyDescent="0.3">
      <c r="A266" s="2" t="s">
        <v>915</v>
      </c>
      <c r="B266" s="2" t="s">
        <v>315</v>
      </c>
      <c r="C266" s="16">
        <f t="shared" si="8"/>
        <v>1</v>
      </c>
      <c r="D266" s="2" t="s">
        <v>315</v>
      </c>
      <c r="E266" s="17" t="s">
        <v>1143</v>
      </c>
      <c r="F266" s="2">
        <f t="shared" si="9"/>
        <v>1</v>
      </c>
    </row>
    <row r="267" spans="1:6" x14ac:dyDescent="0.3">
      <c r="A267" s="2" t="s">
        <v>908</v>
      </c>
      <c r="B267" s="2" t="s">
        <v>315</v>
      </c>
      <c r="C267" s="16">
        <f t="shared" si="8"/>
        <v>1</v>
      </c>
      <c r="D267" s="2" t="s">
        <v>1095</v>
      </c>
      <c r="E267" s="17" t="s">
        <v>1144</v>
      </c>
      <c r="F267" s="2">
        <f t="shared" si="9"/>
        <v>1</v>
      </c>
    </row>
    <row r="268" spans="1:6" x14ac:dyDescent="0.3">
      <c r="A268" s="2" t="s">
        <v>857</v>
      </c>
      <c r="B268" s="2" t="s">
        <v>315</v>
      </c>
      <c r="C268" s="16">
        <f t="shared" si="8"/>
        <v>1</v>
      </c>
      <c r="D268" s="2" t="s">
        <v>315</v>
      </c>
      <c r="E268" s="17" t="s">
        <v>1143</v>
      </c>
      <c r="F268" s="2">
        <f t="shared" si="9"/>
        <v>1</v>
      </c>
    </row>
    <row r="269" spans="1:6" x14ac:dyDescent="0.3">
      <c r="A269" s="2" t="s">
        <v>678</v>
      </c>
      <c r="B269" s="2" t="s">
        <v>315</v>
      </c>
      <c r="C269" s="16">
        <f t="shared" si="8"/>
        <v>1</v>
      </c>
      <c r="D269" s="2" t="s">
        <v>1095</v>
      </c>
      <c r="E269" s="17" t="s">
        <v>1144</v>
      </c>
      <c r="F269" s="2">
        <f t="shared" si="9"/>
        <v>1</v>
      </c>
    </row>
    <row r="270" spans="1:6" x14ac:dyDescent="0.3">
      <c r="A270" s="2" t="s">
        <v>156</v>
      </c>
      <c r="B270" s="2" t="s">
        <v>315</v>
      </c>
      <c r="C270" s="16">
        <f t="shared" si="8"/>
        <v>1</v>
      </c>
      <c r="D270" s="2" t="s">
        <v>315</v>
      </c>
      <c r="E270" s="17" t="s">
        <v>1143</v>
      </c>
      <c r="F270" s="2">
        <f t="shared" si="9"/>
        <v>1</v>
      </c>
    </row>
    <row r="271" spans="1:6" x14ac:dyDescent="0.3">
      <c r="A271" s="2" t="s">
        <v>185</v>
      </c>
      <c r="B271" s="2" t="s">
        <v>315</v>
      </c>
      <c r="C271" s="16">
        <f t="shared" si="8"/>
        <v>1</v>
      </c>
      <c r="D271" s="2" t="s">
        <v>321</v>
      </c>
      <c r="E271" s="17" t="s">
        <v>1142</v>
      </c>
      <c r="F271" s="2">
        <f t="shared" si="9"/>
        <v>0</v>
      </c>
    </row>
    <row r="272" spans="1:6" x14ac:dyDescent="0.3">
      <c r="A272" s="2" t="s">
        <v>947</v>
      </c>
      <c r="B272" s="2" t="s">
        <v>315</v>
      </c>
      <c r="C272" s="16">
        <f t="shared" si="8"/>
        <v>1</v>
      </c>
      <c r="D272" s="2" t="s">
        <v>321</v>
      </c>
      <c r="E272" s="17" t="s">
        <v>1142</v>
      </c>
      <c r="F272" s="2">
        <f t="shared" si="9"/>
        <v>0</v>
      </c>
    </row>
    <row r="273" spans="1:6" x14ac:dyDescent="0.3">
      <c r="A273" s="2" t="s">
        <v>171</v>
      </c>
      <c r="B273" s="2" t="s">
        <v>315</v>
      </c>
      <c r="C273" s="16">
        <f t="shared" si="8"/>
        <v>1</v>
      </c>
      <c r="D273" s="2" t="s">
        <v>315</v>
      </c>
      <c r="E273" s="17" t="s">
        <v>1143</v>
      </c>
      <c r="F273" s="2">
        <f t="shared" si="9"/>
        <v>1</v>
      </c>
    </row>
    <row r="274" spans="1:6" x14ac:dyDescent="0.3">
      <c r="A274" s="2" t="s">
        <v>153</v>
      </c>
      <c r="B274" s="2" t="s">
        <v>315</v>
      </c>
      <c r="C274" s="16">
        <f t="shared" si="8"/>
        <v>1</v>
      </c>
      <c r="D274" s="2" t="s">
        <v>316</v>
      </c>
      <c r="E274" s="17" t="s">
        <v>1141</v>
      </c>
      <c r="F274" s="2">
        <f t="shared" si="9"/>
        <v>0</v>
      </c>
    </row>
    <row r="275" spans="1:6" x14ac:dyDescent="0.3">
      <c r="A275" s="2" t="s">
        <v>855</v>
      </c>
      <c r="B275" s="2" t="s">
        <v>315</v>
      </c>
      <c r="C275" s="16">
        <f t="shared" si="8"/>
        <v>1</v>
      </c>
      <c r="D275" s="2" t="s">
        <v>316</v>
      </c>
      <c r="E275" s="17" t="s">
        <v>1141</v>
      </c>
      <c r="F275" s="2">
        <f t="shared" si="9"/>
        <v>0</v>
      </c>
    </row>
    <row r="276" spans="1:6" x14ac:dyDescent="0.3">
      <c r="A276" s="2" t="s">
        <v>679</v>
      </c>
      <c r="B276" s="2" t="s">
        <v>315</v>
      </c>
      <c r="C276" s="16">
        <f t="shared" si="8"/>
        <v>1</v>
      </c>
      <c r="D276" s="2" t="s">
        <v>316</v>
      </c>
      <c r="E276" s="17" t="s">
        <v>1141</v>
      </c>
      <c r="F276" s="2">
        <f t="shared" si="9"/>
        <v>0</v>
      </c>
    </row>
    <row r="277" spans="1:6" x14ac:dyDescent="0.3">
      <c r="A277" s="2" t="s">
        <v>1113</v>
      </c>
      <c r="B277" s="2" t="s">
        <v>315</v>
      </c>
      <c r="C277" s="16">
        <f t="shared" si="8"/>
        <v>1</v>
      </c>
      <c r="D277" s="2" t="s">
        <v>321</v>
      </c>
      <c r="E277" s="17" t="s">
        <v>1142</v>
      </c>
      <c r="F277" s="2">
        <f t="shared" si="9"/>
        <v>0</v>
      </c>
    </row>
    <row r="278" spans="1:6" x14ac:dyDescent="0.3">
      <c r="A278" s="2" t="s">
        <v>686</v>
      </c>
      <c r="B278" s="2" t="s">
        <v>315</v>
      </c>
      <c r="C278" s="16">
        <f t="shared" si="8"/>
        <v>1</v>
      </c>
      <c r="D278" s="2" t="s">
        <v>321</v>
      </c>
      <c r="E278" s="17" t="s">
        <v>1142</v>
      </c>
      <c r="F278" s="2">
        <f t="shared" si="9"/>
        <v>0</v>
      </c>
    </row>
    <row r="279" spans="1:6" x14ac:dyDescent="0.3">
      <c r="A279" s="2" t="s">
        <v>872</v>
      </c>
      <c r="B279" s="2" t="s">
        <v>315</v>
      </c>
      <c r="C279" s="16">
        <f t="shared" si="8"/>
        <v>1</v>
      </c>
      <c r="D279" s="2" t="s">
        <v>1095</v>
      </c>
      <c r="E279" s="17" t="s">
        <v>1144</v>
      </c>
      <c r="F279" s="2">
        <f t="shared" si="9"/>
        <v>1</v>
      </c>
    </row>
    <row r="280" spans="1:6" x14ac:dyDescent="0.3">
      <c r="A280" s="2" t="s">
        <v>197</v>
      </c>
      <c r="B280" s="2" t="s">
        <v>315</v>
      </c>
      <c r="C280" s="16">
        <f t="shared" si="8"/>
        <v>1</v>
      </c>
      <c r="D280" s="2" t="s">
        <v>315</v>
      </c>
      <c r="E280" s="17" t="s">
        <v>1143</v>
      </c>
      <c r="F280" s="2">
        <f t="shared" si="9"/>
        <v>1</v>
      </c>
    </row>
    <row r="281" spans="1:6" x14ac:dyDescent="0.3">
      <c r="A281" s="2" t="s">
        <v>225</v>
      </c>
      <c r="B281" s="2" t="s">
        <v>315</v>
      </c>
      <c r="C281" s="16">
        <f t="shared" si="8"/>
        <v>1</v>
      </c>
      <c r="D281" s="2" t="s">
        <v>316</v>
      </c>
      <c r="E281" s="17" t="s">
        <v>1141</v>
      </c>
      <c r="F281" s="2">
        <f t="shared" si="9"/>
        <v>0</v>
      </c>
    </row>
    <row r="282" spans="1:6" x14ac:dyDescent="0.3">
      <c r="A282" s="2" t="s">
        <v>850</v>
      </c>
      <c r="B282" s="2" t="s">
        <v>315</v>
      </c>
      <c r="C282" s="16">
        <f t="shared" si="8"/>
        <v>1</v>
      </c>
      <c r="D282" s="2" t="s">
        <v>316</v>
      </c>
      <c r="E282" s="17" t="s">
        <v>1141</v>
      </c>
      <c r="F282" s="2">
        <f t="shared" si="9"/>
        <v>0</v>
      </c>
    </row>
    <row r="283" spans="1:6" x14ac:dyDescent="0.3">
      <c r="A283" s="2" t="s">
        <v>199</v>
      </c>
      <c r="B283" s="2" t="s">
        <v>315</v>
      </c>
      <c r="C283" s="16">
        <f t="shared" si="8"/>
        <v>1</v>
      </c>
      <c r="D283" s="2" t="s">
        <v>316</v>
      </c>
      <c r="E283" s="17" t="s">
        <v>1141</v>
      </c>
      <c r="F283" s="2">
        <f t="shared" si="9"/>
        <v>0</v>
      </c>
    </row>
    <row r="284" spans="1:6" x14ac:dyDescent="0.3">
      <c r="A284" s="2" t="s">
        <v>891</v>
      </c>
      <c r="B284" s="2" t="s">
        <v>315</v>
      </c>
      <c r="C284" s="16">
        <f t="shared" si="8"/>
        <v>1</v>
      </c>
      <c r="D284" s="2" t="s">
        <v>321</v>
      </c>
      <c r="E284" s="17" t="s">
        <v>1142</v>
      </c>
      <c r="F284" s="2">
        <f t="shared" si="9"/>
        <v>0</v>
      </c>
    </row>
    <row r="285" spans="1:6" x14ac:dyDescent="0.3">
      <c r="A285" s="2" t="s">
        <v>729</v>
      </c>
      <c r="B285" s="2" t="s">
        <v>315</v>
      </c>
      <c r="C285" s="16">
        <f t="shared" si="8"/>
        <v>1</v>
      </c>
      <c r="D285" s="2" t="s">
        <v>321</v>
      </c>
      <c r="E285" s="17" t="s">
        <v>1142</v>
      </c>
      <c r="F285" s="2">
        <f t="shared" si="9"/>
        <v>0</v>
      </c>
    </row>
    <row r="286" spans="1:6" x14ac:dyDescent="0.3">
      <c r="A286" s="2" t="s">
        <v>732</v>
      </c>
      <c r="B286" s="2" t="s">
        <v>315</v>
      </c>
      <c r="C286" s="16">
        <f t="shared" si="8"/>
        <v>1</v>
      </c>
      <c r="D286" s="2" t="s">
        <v>321</v>
      </c>
      <c r="E286" s="17" t="s">
        <v>1142</v>
      </c>
      <c r="F286" s="2">
        <f t="shared" si="9"/>
        <v>0</v>
      </c>
    </row>
    <row r="287" spans="1:6" x14ac:dyDescent="0.3">
      <c r="A287" s="2" t="s">
        <v>165</v>
      </c>
      <c r="B287" s="2" t="s">
        <v>315</v>
      </c>
      <c r="C287" s="16">
        <f t="shared" si="8"/>
        <v>1</v>
      </c>
      <c r="D287" s="2" t="s">
        <v>316</v>
      </c>
      <c r="E287" s="17" t="s">
        <v>1141</v>
      </c>
      <c r="F287" s="2">
        <f t="shared" si="9"/>
        <v>0</v>
      </c>
    </row>
    <row r="288" spans="1:6" x14ac:dyDescent="0.3">
      <c r="A288" s="2" t="s">
        <v>750</v>
      </c>
      <c r="B288" s="2" t="s">
        <v>315</v>
      </c>
      <c r="C288" s="16">
        <f t="shared" si="8"/>
        <v>1</v>
      </c>
      <c r="D288" s="2" t="s">
        <v>316</v>
      </c>
      <c r="E288" s="17" t="s">
        <v>1141</v>
      </c>
      <c r="F288" s="2">
        <f t="shared" si="9"/>
        <v>0</v>
      </c>
    </row>
    <row r="289" spans="1:6" x14ac:dyDescent="0.3">
      <c r="A289" s="2" t="s">
        <v>769</v>
      </c>
      <c r="B289" s="2" t="s">
        <v>315</v>
      </c>
      <c r="C289" s="16">
        <f t="shared" si="8"/>
        <v>1</v>
      </c>
      <c r="D289" s="2" t="s">
        <v>315</v>
      </c>
      <c r="E289" s="17" t="s">
        <v>1143</v>
      </c>
      <c r="F289" s="2">
        <f t="shared" si="9"/>
        <v>1</v>
      </c>
    </row>
    <row r="290" spans="1:6" x14ac:dyDescent="0.3">
      <c r="A290" s="2" t="s">
        <v>824</v>
      </c>
      <c r="B290" s="2" t="s">
        <v>315</v>
      </c>
      <c r="C290" s="16">
        <f t="shared" si="8"/>
        <v>1</v>
      </c>
      <c r="D290" s="2" t="s">
        <v>315</v>
      </c>
      <c r="E290" s="17" t="s">
        <v>1143</v>
      </c>
      <c r="F290" s="2">
        <f t="shared" si="9"/>
        <v>1</v>
      </c>
    </row>
    <row r="291" spans="1:6" x14ac:dyDescent="0.3">
      <c r="A291" s="2" t="s">
        <v>885</v>
      </c>
      <c r="B291" s="2" t="s">
        <v>315</v>
      </c>
      <c r="C291" s="16">
        <f t="shared" si="8"/>
        <v>1</v>
      </c>
      <c r="D291" s="2" t="s">
        <v>321</v>
      </c>
      <c r="E291" s="17" t="s">
        <v>1142</v>
      </c>
      <c r="F291" s="2">
        <f t="shared" si="9"/>
        <v>0</v>
      </c>
    </row>
    <row r="292" spans="1:6" x14ac:dyDescent="0.3">
      <c r="A292" s="2" t="s">
        <v>187</v>
      </c>
      <c r="B292" s="2" t="s">
        <v>315</v>
      </c>
      <c r="C292" s="16">
        <f t="shared" si="8"/>
        <v>1</v>
      </c>
      <c r="D292" s="2" t="s">
        <v>321</v>
      </c>
      <c r="E292" s="17" t="s">
        <v>1142</v>
      </c>
      <c r="F292" s="2">
        <f t="shared" si="9"/>
        <v>0</v>
      </c>
    </row>
    <row r="293" spans="1:6" x14ac:dyDescent="0.3">
      <c r="A293" s="2" t="s">
        <v>757</v>
      </c>
      <c r="B293" s="2" t="s">
        <v>315</v>
      </c>
      <c r="C293" s="16">
        <f t="shared" si="8"/>
        <v>1</v>
      </c>
      <c r="D293" s="2" t="s">
        <v>316</v>
      </c>
      <c r="E293" s="17" t="s">
        <v>1141</v>
      </c>
      <c r="F293" s="2">
        <f t="shared" si="9"/>
        <v>0</v>
      </c>
    </row>
    <row r="294" spans="1:6" x14ac:dyDescent="0.3">
      <c r="A294" s="2" t="s">
        <v>812</v>
      </c>
      <c r="B294" s="2" t="s">
        <v>315</v>
      </c>
      <c r="C294" s="16">
        <f t="shared" si="8"/>
        <v>1</v>
      </c>
      <c r="D294" s="2" t="s">
        <v>315</v>
      </c>
      <c r="E294" s="17" t="s">
        <v>1143</v>
      </c>
      <c r="F294" s="2">
        <f t="shared" si="9"/>
        <v>1</v>
      </c>
    </row>
    <row r="295" spans="1:6" x14ac:dyDescent="0.3">
      <c r="A295" s="2" t="s">
        <v>805</v>
      </c>
      <c r="B295" s="2" t="s">
        <v>315</v>
      </c>
      <c r="C295" s="16">
        <f t="shared" si="8"/>
        <v>1</v>
      </c>
      <c r="D295" s="2" t="s">
        <v>321</v>
      </c>
      <c r="E295" s="17" t="s">
        <v>1142</v>
      </c>
      <c r="F295" s="2">
        <f t="shared" si="9"/>
        <v>0</v>
      </c>
    </row>
    <row r="296" spans="1:6" x14ac:dyDescent="0.3">
      <c r="A296" s="2" t="s">
        <v>667</v>
      </c>
      <c r="B296" s="2" t="s">
        <v>315</v>
      </c>
      <c r="C296" s="16">
        <f t="shared" si="8"/>
        <v>1</v>
      </c>
      <c r="D296" s="2" t="s">
        <v>1095</v>
      </c>
      <c r="E296" s="17" t="s">
        <v>1144</v>
      </c>
      <c r="F296" s="2">
        <f t="shared" si="9"/>
        <v>1</v>
      </c>
    </row>
    <row r="297" spans="1:6" x14ac:dyDescent="0.3">
      <c r="A297" s="2" t="s">
        <v>852</v>
      </c>
      <c r="B297" s="2" t="s">
        <v>315</v>
      </c>
      <c r="C297" s="16">
        <f t="shared" si="8"/>
        <v>1</v>
      </c>
      <c r="D297" s="2" t="s">
        <v>1095</v>
      </c>
      <c r="E297" s="17" t="s">
        <v>1144</v>
      </c>
      <c r="F297" s="2">
        <f t="shared" si="9"/>
        <v>1</v>
      </c>
    </row>
    <row r="298" spans="1:6" x14ac:dyDescent="0.3">
      <c r="A298" s="2" t="s">
        <v>673</v>
      </c>
      <c r="B298" s="2" t="s">
        <v>315</v>
      </c>
      <c r="C298" s="16">
        <f t="shared" si="8"/>
        <v>1</v>
      </c>
      <c r="D298" s="2" t="s">
        <v>315</v>
      </c>
      <c r="E298" s="17" t="s">
        <v>1143</v>
      </c>
      <c r="F298" s="2">
        <f t="shared" si="9"/>
        <v>1</v>
      </c>
    </row>
    <row r="299" spans="1:6" x14ac:dyDescent="0.3">
      <c r="A299" s="2" t="s">
        <v>774</v>
      </c>
      <c r="B299" s="2" t="s">
        <v>315</v>
      </c>
      <c r="C299" s="16">
        <f t="shared" si="8"/>
        <v>1</v>
      </c>
      <c r="D299" s="2" t="s">
        <v>316</v>
      </c>
      <c r="E299" s="17" t="s">
        <v>1141</v>
      </c>
      <c r="F299" s="2">
        <f t="shared" si="9"/>
        <v>0</v>
      </c>
    </row>
    <row r="300" spans="1:6" x14ac:dyDescent="0.3">
      <c r="A300" s="2" t="s">
        <v>895</v>
      </c>
      <c r="B300" s="2" t="s">
        <v>315</v>
      </c>
      <c r="C300" s="16">
        <f t="shared" si="8"/>
        <v>1</v>
      </c>
      <c r="D300" s="2" t="s">
        <v>321</v>
      </c>
      <c r="E300" s="17" t="s">
        <v>1142</v>
      </c>
      <c r="F300" s="2">
        <f t="shared" si="9"/>
        <v>0</v>
      </c>
    </row>
    <row r="301" spans="1:6" x14ac:dyDescent="0.3">
      <c r="A301" s="2" t="s">
        <v>682</v>
      </c>
      <c r="B301" s="2" t="s">
        <v>315</v>
      </c>
      <c r="C301" s="16">
        <f t="shared" si="8"/>
        <v>1</v>
      </c>
      <c r="D301" s="2" t="s">
        <v>1095</v>
      </c>
      <c r="E301" s="17" t="s">
        <v>1144</v>
      </c>
      <c r="F301" s="2">
        <f t="shared" si="9"/>
        <v>1</v>
      </c>
    </row>
    <row r="302" spans="1:6" x14ac:dyDescent="0.3">
      <c r="A302" s="2" t="s">
        <v>164</v>
      </c>
      <c r="B302" s="2" t="s">
        <v>315</v>
      </c>
      <c r="C302" s="16">
        <f t="shared" si="8"/>
        <v>1</v>
      </c>
      <c r="D302" s="2" t="s">
        <v>321</v>
      </c>
      <c r="E302" s="17" t="s">
        <v>1142</v>
      </c>
      <c r="F302" s="2">
        <f t="shared" si="9"/>
        <v>0</v>
      </c>
    </row>
    <row r="303" spans="1:6" x14ac:dyDescent="0.3">
      <c r="A303" s="2" t="s">
        <v>710</v>
      </c>
      <c r="B303" s="2" t="s">
        <v>315</v>
      </c>
      <c r="C303" s="16">
        <f t="shared" si="8"/>
        <v>1</v>
      </c>
      <c r="D303" s="2" t="s">
        <v>316</v>
      </c>
      <c r="E303" s="17" t="s">
        <v>1141</v>
      </c>
      <c r="F303" s="2">
        <f t="shared" si="9"/>
        <v>0</v>
      </c>
    </row>
    <row r="304" spans="1:6" x14ac:dyDescent="0.3">
      <c r="A304" s="2" t="s">
        <v>136</v>
      </c>
      <c r="B304" s="2" t="s">
        <v>315</v>
      </c>
      <c r="C304" s="16">
        <f t="shared" si="8"/>
        <v>1</v>
      </c>
      <c r="D304" s="2" t="s">
        <v>1095</v>
      </c>
      <c r="E304" s="17" t="s">
        <v>1144</v>
      </c>
      <c r="F304" s="2">
        <f t="shared" si="9"/>
        <v>1</v>
      </c>
    </row>
    <row r="305" spans="1:6" x14ac:dyDescent="0.3">
      <c r="A305" s="2" t="s">
        <v>207</v>
      </c>
      <c r="B305" s="2" t="s">
        <v>315</v>
      </c>
      <c r="C305" s="16">
        <f t="shared" si="8"/>
        <v>1</v>
      </c>
      <c r="D305" s="2" t="s">
        <v>321</v>
      </c>
      <c r="E305" s="17" t="s">
        <v>1142</v>
      </c>
      <c r="F305" s="2">
        <f t="shared" si="9"/>
        <v>0</v>
      </c>
    </row>
    <row r="306" spans="1:6" x14ac:dyDescent="0.3">
      <c r="A306" s="2" t="s">
        <v>839</v>
      </c>
      <c r="B306" s="2" t="s">
        <v>315</v>
      </c>
      <c r="C306" s="16">
        <f t="shared" si="8"/>
        <v>1</v>
      </c>
      <c r="D306" s="2" t="s">
        <v>315</v>
      </c>
      <c r="E306" s="17" t="s">
        <v>1143</v>
      </c>
      <c r="F306" s="2">
        <f t="shared" si="9"/>
        <v>1</v>
      </c>
    </row>
    <row r="307" spans="1:6" x14ac:dyDescent="0.3">
      <c r="A307" s="2" t="s">
        <v>712</v>
      </c>
      <c r="B307" s="2" t="s">
        <v>315</v>
      </c>
      <c r="C307" s="16">
        <f t="shared" si="8"/>
        <v>1</v>
      </c>
      <c r="D307" s="2" t="s">
        <v>315</v>
      </c>
      <c r="E307" s="17" t="s">
        <v>1143</v>
      </c>
      <c r="F307" s="2">
        <f t="shared" si="9"/>
        <v>1</v>
      </c>
    </row>
    <row r="308" spans="1:6" x14ac:dyDescent="0.3">
      <c r="A308" s="2" t="s">
        <v>736</v>
      </c>
      <c r="B308" s="2" t="s">
        <v>315</v>
      </c>
      <c r="C308" s="16">
        <f t="shared" si="8"/>
        <v>1</v>
      </c>
      <c r="D308" s="2" t="s">
        <v>316</v>
      </c>
      <c r="E308" s="17" t="s">
        <v>1141</v>
      </c>
      <c r="F308" s="2">
        <f t="shared" si="9"/>
        <v>0</v>
      </c>
    </row>
    <row r="309" spans="1:6" x14ac:dyDescent="0.3">
      <c r="A309" s="2" t="s">
        <v>896</v>
      </c>
      <c r="B309" s="2" t="s">
        <v>315</v>
      </c>
      <c r="C309" s="16">
        <f t="shared" si="8"/>
        <v>1</v>
      </c>
      <c r="D309" s="2" t="s">
        <v>316</v>
      </c>
      <c r="E309" s="17" t="s">
        <v>1141</v>
      </c>
      <c r="F309" s="2">
        <f t="shared" si="9"/>
        <v>0</v>
      </c>
    </row>
    <row r="310" spans="1:6" x14ac:dyDescent="0.3">
      <c r="A310" s="2" t="s">
        <v>911</v>
      </c>
      <c r="B310" s="2" t="s">
        <v>315</v>
      </c>
      <c r="C310" s="16">
        <f t="shared" si="8"/>
        <v>1</v>
      </c>
      <c r="D310" s="2" t="s">
        <v>316</v>
      </c>
      <c r="E310" s="17" t="s">
        <v>1141</v>
      </c>
      <c r="F310" s="2">
        <f t="shared" si="9"/>
        <v>0</v>
      </c>
    </row>
    <row r="311" spans="1:6" x14ac:dyDescent="0.3">
      <c r="A311" s="2" t="s">
        <v>833</v>
      </c>
      <c r="B311" s="2" t="s">
        <v>315</v>
      </c>
      <c r="C311" s="16">
        <f t="shared" si="8"/>
        <v>1</v>
      </c>
      <c r="D311" s="2" t="s">
        <v>316</v>
      </c>
      <c r="E311" s="17" t="s">
        <v>1141</v>
      </c>
      <c r="F311" s="2">
        <f t="shared" si="9"/>
        <v>0</v>
      </c>
    </row>
    <row r="312" spans="1:6" x14ac:dyDescent="0.3">
      <c r="A312" s="2" t="s">
        <v>142</v>
      </c>
      <c r="B312" s="2" t="s">
        <v>315</v>
      </c>
      <c r="C312" s="16">
        <f t="shared" si="8"/>
        <v>1</v>
      </c>
      <c r="D312" s="2" t="s">
        <v>321</v>
      </c>
      <c r="E312" s="17" t="s">
        <v>1142</v>
      </c>
      <c r="F312" s="2">
        <f t="shared" si="9"/>
        <v>0</v>
      </c>
    </row>
    <row r="313" spans="1:6" x14ac:dyDescent="0.3">
      <c r="A313" s="2" t="s">
        <v>900</v>
      </c>
      <c r="B313" s="2" t="s">
        <v>315</v>
      </c>
      <c r="C313" s="16">
        <f t="shared" si="8"/>
        <v>1</v>
      </c>
      <c r="D313" s="2" t="s">
        <v>1095</v>
      </c>
      <c r="E313" s="17" t="s">
        <v>1144</v>
      </c>
      <c r="F313" s="2">
        <f t="shared" si="9"/>
        <v>1</v>
      </c>
    </row>
    <row r="314" spans="1:6" x14ac:dyDescent="0.3">
      <c r="A314" s="2" t="s">
        <v>837</v>
      </c>
      <c r="B314" s="2" t="s">
        <v>315</v>
      </c>
      <c r="C314" s="16">
        <f t="shared" si="8"/>
        <v>1</v>
      </c>
      <c r="D314" s="2" t="s">
        <v>316</v>
      </c>
      <c r="E314" s="17" t="s">
        <v>1141</v>
      </c>
      <c r="F314" s="2">
        <f t="shared" si="9"/>
        <v>0</v>
      </c>
    </row>
    <row r="315" spans="1:6" x14ac:dyDescent="0.3">
      <c r="A315" s="2" t="s">
        <v>751</v>
      </c>
      <c r="B315" s="2" t="s">
        <v>315</v>
      </c>
      <c r="C315" s="16">
        <f t="shared" si="8"/>
        <v>1</v>
      </c>
      <c r="D315" s="2" t="s">
        <v>1095</v>
      </c>
      <c r="E315" s="17" t="s">
        <v>1144</v>
      </c>
      <c r="F315" s="2">
        <f t="shared" si="9"/>
        <v>1</v>
      </c>
    </row>
    <row r="316" spans="1:6" x14ac:dyDescent="0.3">
      <c r="A316" s="2" t="s">
        <v>191</v>
      </c>
      <c r="B316" s="2" t="s">
        <v>315</v>
      </c>
      <c r="C316" s="16">
        <f t="shared" si="8"/>
        <v>1</v>
      </c>
      <c r="D316" s="2" t="s">
        <v>316</v>
      </c>
      <c r="E316" s="17" t="s">
        <v>1141</v>
      </c>
      <c r="F316" s="2">
        <f t="shared" si="9"/>
        <v>0</v>
      </c>
    </row>
    <row r="317" spans="1:6" x14ac:dyDescent="0.3">
      <c r="A317" s="2" t="s">
        <v>211</v>
      </c>
      <c r="B317" s="2" t="s">
        <v>315</v>
      </c>
      <c r="C317" s="16">
        <f t="shared" si="8"/>
        <v>1</v>
      </c>
      <c r="D317" s="2" t="s">
        <v>316</v>
      </c>
      <c r="E317" s="17" t="s">
        <v>1141</v>
      </c>
      <c r="F317" s="2">
        <f t="shared" si="9"/>
        <v>0</v>
      </c>
    </row>
    <row r="318" spans="1:6" x14ac:dyDescent="0.3">
      <c r="A318" s="2" t="s">
        <v>776</v>
      </c>
      <c r="B318" s="2" t="s">
        <v>315</v>
      </c>
      <c r="C318" s="16">
        <f t="shared" si="8"/>
        <v>1</v>
      </c>
      <c r="D318" s="2" t="s">
        <v>321</v>
      </c>
      <c r="E318" s="17" t="s">
        <v>1142</v>
      </c>
      <c r="F318" s="2">
        <f t="shared" si="9"/>
        <v>0</v>
      </c>
    </row>
    <row r="319" spans="1:6" x14ac:dyDescent="0.3">
      <c r="A319" s="2" t="s">
        <v>845</v>
      </c>
      <c r="B319" s="2" t="s">
        <v>315</v>
      </c>
      <c r="C319" s="16">
        <f t="shared" si="8"/>
        <v>1</v>
      </c>
      <c r="D319" s="2" t="s">
        <v>316</v>
      </c>
      <c r="E319" s="17" t="s">
        <v>1141</v>
      </c>
      <c r="F319" s="2">
        <f t="shared" si="9"/>
        <v>0</v>
      </c>
    </row>
    <row r="320" spans="1:6" x14ac:dyDescent="0.3">
      <c r="A320" s="2" t="s">
        <v>201</v>
      </c>
      <c r="B320" s="2" t="s">
        <v>315</v>
      </c>
      <c r="C320" s="16">
        <f t="shared" si="8"/>
        <v>1</v>
      </c>
      <c r="D320" s="2" t="s">
        <v>316</v>
      </c>
      <c r="E320" s="17" t="s">
        <v>1141</v>
      </c>
      <c r="F320" s="2">
        <f t="shared" si="9"/>
        <v>0</v>
      </c>
    </row>
    <row r="321" spans="1:6" x14ac:dyDescent="0.3">
      <c r="A321" s="2" t="s">
        <v>742</v>
      </c>
      <c r="B321" s="2" t="s">
        <v>315</v>
      </c>
      <c r="C321" s="16">
        <f t="shared" si="8"/>
        <v>1</v>
      </c>
      <c r="D321" s="2" t="s">
        <v>321</v>
      </c>
      <c r="E321" s="17" t="s">
        <v>1142</v>
      </c>
      <c r="F321" s="2">
        <f t="shared" si="9"/>
        <v>0</v>
      </c>
    </row>
    <row r="322" spans="1:6" x14ac:dyDescent="0.3">
      <c r="A322" s="2" t="s">
        <v>200</v>
      </c>
      <c r="B322" s="2" t="s">
        <v>315</v>
      </c>
      <c r="C322" s="16">
        <f t="shared" ref="C322:C385" si="10">IF(B322="Yes",1,0)</f>
        <v>1</v>
      </c>
      <c r="D322" s="2" t="s">
        <v>316</v>
      </c>
      <c r="E322" s="17" t="s">
        <v>1141</v>
      </c>
      <c r="F322" s="2">
        <f t="shared" ref="F322:F385" si="11">IF(OR(E322="Low risk",E322="Medium risk"),0,1)</f>
        <v>0</v>
      </c>
    </row>
    <row r="323" spans="1:6" x14ac:dyDescent="0.3">
      <c r="A323" s="2" t="s">
        <v>677</v>
      </c>
      <c r="B323" s="2" t="s">
        <v>315</v>
      </c>
      <c r="C323" s="16">
        <f t="shared" si="10"/>
        <v>1</v>
      </c>
      <c r="D323" s="2" t="s">
        <v>1095</v>
      </c>
      <c r="E323" s="17" t="s">
        <v>1144</v>
      </c>
      <c r="F323" s="2">
        <f t="shared" si="11"/>
        <v>1</v>
      </c>
    </row>
    <row r="324" spans="1:6" x14ac:dyDescent="0.3">
      <c r="A324" s="2" t="s">
        <v>842</v>
      </c>
      <c r="B324" s="2" t="s">
        <v>315</v>
      </c>
      <c r="C324" s="16">
        <f t="shared" si="10"/>
        <v>1</v>
      </c>
      <c r="D324" s="2" t="s">
        <v>315</v>
      </c>
      <c r="E324" s="17" t="s">
        <v>1143</v>
      </c>
      <c r="F324" s="2">
        <f t="shared" si="11"/>
        <v>1</v>
      </c>
    </row>
    <row r="325" spans="1:6" x14ac:dyDescent="0.3">
      <c r="A325" s="2" t="s">
        <v>873</v>
      </c>
      <c r="B325" s="2" t="s">
        <v>315</v>
      </c>
      <c r="C325" s="16">
        <f t="shared" si="10"/>
        <v>1</v>
      </c>
      <c r="D325" s="2" t="s">
        <v>316</v>
      </c>
      <c r="E325" s="17" t="s">
        <v>1141</v>
      </c>
      <c r="F325" s="2">
        <f t="shared" si="11"/>
        <v>0</v>
      </c>
    </row>
    <row r="326" spans="1:6" x14ac:dyDescent="0.3">
      <c r="A326" s="2" t="s">
        <v>800</v>
      </c>
      <c r="B326" s="2" t="s">
        <v>315</v>
      </c>
      <c r="C326" s="16">
        <f t="shared" si="10"/>
        <v>1</v>
      </c>
      <c r="D326" s="2" t="s">
        <v>316</v>
      </c>
      <c r="E326" s="17" t="s">
        <v>1141</v>
      </c>
      <c r="F326" s="2">
        <f t="shared" si="11"/>
        <v>0</v>
      </c>
    </row>
    <row r="327" spans="1:6" x14ac:dyDescent="0.3">
      <c r="A327" s="2" t="s">
        <v>942</v>
      </c>
      <c r="B327" s="2" t="s">
        <v>315</v>
      </c>
      <c r="C327" s="16">
        <f t="shared" si="10"/>
        <v>1</v>
      </c>
      <c r="D327" s="2" t="s">
        <v>1095</v>
      </c>
      <c r="E327" s="17" t="s">
        <v>1144</v>
      </c>
      <c r="F327" s="2">
        <f t="shared" si="11"/>
        <v>1</v>
      </c>
    </row>
    <row r="328" spans="1:6" x14ac:dyDescent="0.3">
      <c r="A328" s="2" t="s">
        <v>226</v>
      </c>
      <c r="B328" s="2" t="s">
        <v>315</v>
      </c>
      <c r="C328" s="16">
        <f t="shared" si="10"/>
        <v>1</v>
      </c>
      <c r="D328" s="2" t="s">
        <v>315</v>
      </c>
      <c r="E328" s="17" t="s">
        <v>1143</v>
      </c>
      <c r="F328" s="2">
        <f t="shared" si="11"/>
        <v>1</v>
      </c>
    </row>
    <row r="329" spans="1:6" x14ac:dyDescent="0.3">
      <c r="A329" s="2" t="s">
        <v>713</v>
      </c>
      <c r="B329" s="2" t="s">
        <v>315</v>
      </c>
      <c r="C329" s="16">
        <f t="shared" si="10"/>
        <v>1</v>
      </c>
      <c r="D329" s="2" t="s">
        <v>1095</v>
      </c>
      <c r="E329" s="17" t="s">
        <v>1144</v>
      </c>
      <c r="F329" s="2">
        <f t="shared" si="11"/>
        <v>1</v>
      </c>
    </row>
    <row r="330" spans="1:6" x14ac:dyDescent="0.3">
      <c r="A330" s="2" t="s">
        <v>878</v>
      </c>
      <c r="B330" s="2" t="s">
        <v>315</v>
      </c>
      <c r="C330" s="16">
        <f t="shared" si="10"/>
        <v>1</v>
      </c>
      <c r="D330" s="2" t="s">
        <v>321</v>
      </c>
      <c r="E330" s="17" t="s">
        <v>1142</v>
      </c>
      <c r="F330" s="2">
        <f t="shared" si="11"/>
        <v>0</v>
      </c>
    </row>
    <row r="331" spans="1:6" x14ac:dyDescent="0.3">
      <c r="A331" s="2" t="s">
        <v>140</v>
      </c>
      <c r="B331" s="2" t="s">
        <v>315</v>
      </c>
      <c r="C331" s="16">
        <f t="shared" si="10"/>
        <v>1</v>
      </c>
      <c r="D331" s="2" t="s">
        <v>1095</v>
      </c>
      <c r="E331" s="17" t="s">
        <v>1144</v>
      </c>
      <c r="F331" s="2">
        <f t="shared" si="11"/>
        <v>1</v>
      </c>
    </row>
    <row r="332" spans="1:6" x14ac:dyDescent="0.3">
      <c r="A332" s="2" t="s">
        <v>856</v>
      </c>
      <c r="B332" s="2" t="s">
        <v>315</v>
      </c>
      <c r="C332" s="16">
        <f t="shared" si="10"/>
        <v>1</v>
      </c>
      <c r="D332" s="2" t="s">
        <v>1095</v>
      </c>
      <c r="E332" s="17" t="s">
        <v>1144</v>
      </c>
      <c r="F332" s="2">
        <f t="shared" si="11"/>
        <v>1</v>
      </c>
    </row>
    <row r="333" spans="1:6" x14ac:dyDescent="0.3">
      <c r="A333" s="2" t="s">
        <v>724</v>
      </c>
      <c r="B333" s="2" t="s">
        <v>315</v>
      </c>
      <c r="C333" s="16">
        <f t="shared" si="10"/>
        <v>1</v>
      </c>
      <c r="D333" s="2" t="s">
        <v>321</v>
      </c>
      <c r="E333" s="17" t="s">
        <v>1142</v>
      </c>
      <c r="F333" s="2">
        <f t="shared" si="11"/>
        <v>0</v>
      </c>
    </row>
    <row r="334" spans="1:6" x14ac:dyDescent="0.3">
      <c r="A334" s="2" t="s">
        <v>184</v>
      </c>
      <c r="B334" s="2" t="s">
        <v>315</v>
      </c>
      <c r="C334" s="16">
        <f t="shared" si="10"/>
        <v>1</v>
      </c>
      <c r="D334" s="2" t="s">
        <v>315</v>
      </c>
      <c r="E334" s="17" t="s">
        <v>1143</v>
      </c>
      <c r="F334" s="2">
        <f t="shared" si="11"/>
        <v>1</v>
      </c>
    </row>
    <row r="335" spans="1:6" x14ac:dyDescent="0.3">
      <c r="A335" s="2" t="s">
        <v>754</v>
      </c>
      <c r="B335" s="2" t="s">
        <v>315</v>
      </c>
      <c r="C335" s="16">
        <f t="shared" si="10"/>
        <v>1</v>
      </c>
      <c r="D335" s="2" t="s">
        <v>321</v>
      </c>
      <c r="E335" s="17" t="s">
        <v>1142</v>
      </c>
      <c r="F335" s="2">
        <f t="shared" si="11"/>
        <v>0</v>
      </c>
    </row>
    <row r="336" spans="1:6" x14ac:dyDescent="0.3">
      <c r="A336" s="2" t="s">
        <v>870</v>
      </c>
      <c r="B336" s="2" t="s">
        <v>315</v>
      </c>
      <c r="C336" s="16">
        <f t="shared" si="10"/>
        <v>1</v>
      </c>
      <c r="D336" s="2" t="s">
        <v>316</v>
      </c>
      <c r="E336" s="17" t="s">
        <v>1141</v>
      </c>
      <c r="F336" s="2">
        <f t="shared" si="11"/>
        <v>0</v>
      </c>
    </row>
    <row r="337" spans="1:6" x14ac:dyDescent="0.3">
      <c r="A337" s="2" t="s">
        <v>892</v>
      </c>
      <c r="B337" s="2" t="s">
        <v>315</v>
      </c>
      <c r="C337" s="16">
        <f t="shared" si="10"/>
        <v>1</v>
      </c>
      <c r="D337" s="2" t="s">
        <v>321</v>
      </c>
      <c r="E337" s="17" t="s">
        <v>1142</v>
      </c>
      <c r="F337" s="2">
        <f t="shared" si="11"/>
        <v>0</v>
      </c>
    </row>
    <row r="338" spans="1:6" x14ac:dyDescent="0.3">
      <c r="A338" s="2" t="s">
        <v>832</v>
      </c>
      <c r="B338" s="2" t="s">
        <v>315</v>
      </c>
      <c r="C338" s="16">
        <f t="shared" si="10"/>
        <v>1</v>
      </c>
      <c r="D338" s="2" t="s">
        <v>316</v>
      </c>
      <c r="E338" s="17" t="s">
        <v>1141</v>
      </c>
      <c r="F338" s="2">
        <f t="shared" si="11"/>
        <v>0</v>
      </c>
    </row>
    <row r="339" spans="1:6" x14ac:dyDescent="0.3">
      <c r="A339" s="2" t="s">
        <v>810</v>
      </c>
      <c r="B339" s="2" t="s">
        <v>315</v>
      </c>
      <c r="C339" s="16">
        <f t="shared" si="10"/>
        <v>1</v>
      </c>
      <c r="D339" s="2" t="s">
        <v>1095</v>
      </c>
      <c r="E339" s="17" t="s">
        <v>1144</v>
      </c>
      <c r="F339" s="2">
        <f t="shared" si="11"/>
        <v>1</v>
      </c>
    </row>
    <row r="340" spans="1:6" x14ac:dyDescent="0.3">
      <c r="A340" s="2" t="s">
        <v>765</v>
      </c>
      <c r="B340" s="2" t="s">
        <v>315</v>
      </c>
      <c r="C340" s="16">
        <f t="shared" si="10"/>
        <v>1</v>
      </c>
      <c r="D340" s="2" t="s">
        <v>316</v>
      </c>
      <c r="E340" s="17" t="s">
        <v>1141</v>
      </c>
      <c r="F340" s="2">
        <f t="shared" si="11"/>
        <v>0</v>
      </c>
    </row>
    <row r="341" spans="1:6" x14ac:dyDescent="0.3">
      <c r="A341" s="2" t="s">
        <v>155</v>
      </c>
      <c r="B341" s="2" t="s">
        <v>315</v>
      </c>
      <c r="C341" s="16">
        <f t="shared" si="10"/>
        <v>1</v>
      </c>
      <c r="D341" s="2" t="s">
        <v>1095</v>
      </c>
      <c r="E341" s="17" t="s">
        <v>1144</v>
      </c>
      <c r="F341" s="2">
        <f t="shared" si="11"/>
        <v>1</v>
      </c>
    </row>
    <row r="342" spans="1:6" x14ac:dyDescent="0.3">
      <c r="A342" s="2" t="s">
        <v>826</v>
      </c>
      <c r="B342" s="2" t="s">
        <v>315</v>
      </c>
      <c r="C342" s="16">
        <f t="shared" si="10"/>
        <v>1</v>
      </c>
      <c r="D342" s="2" t="s">
        <v>1095</v>
      </c>
      <c r="E342" s="17" t="s">
        <v>1144</v>
      </c>
      <c r="F342" s="2">
        <f t="shared" si="11"/>
        <v>1</v>
      </c>
    </row>
    <row r="343" spans="1:6" x14ac:dyDescent="0.3">
      <c r="A343" s="2" t="s">
        <v>664</v>
      </c>
      <c r="B343" s="2" t="s">
        <v>315</v>
      </c>
      <c r="C343" s="16">
        <f t="shared" si="10"/>
        <v>1</v>
      </c>
      <c r="D343" s="2" t="s">
        <v>316</v>
      </c>
      <c r="E343" s="17" t="s">
        <v>1141</v>
      </c>
      <c r="F343" s="2">
        <f t="shared" si="11"/>
        <v>0</v>
      </c>
    </row>
    <row r="344" spans="1:6" x14ac:dyDescent="0.3">
      <c r="A344" s="2" t="s">
        <v>865</v>
      </c>
      <c r="B344" s="2" t="s">
        <v>315</v>
      </c>
      <c r="C344" s="16">
        <f t="shared" si="10"/>
        <v>1</v>
      </c>
      <c r="D344" s="2" t="s">
        <v>1095</v>
      </c>
      <c r="E344" s="17" t="s">
        <v>1144</v>
      </c>
      <c r="F344" s="2">
        <f t="shared" si="11"/>
        <v>1</v>
      </c>
    </row>
    <row r="345" spans="1:6" x14ac:dyDescent="0.3">
      <c r="A345" s="2" t="s">
        <v>202</v>
      </c>
      <c r="B345" s="2" t="s">
        <v>315</v>
      </c>
      <c r="C345" s="16">
        <f t="shared" si="10"/>
        <v>1</v>
      </c>
      <c r="D345" s="2" t="s">
        <v>1095</v>
      </c>
      <c r="E345" s="17" t="s">
        <v>1144</v>
      </c>
      <c r="F345" s="2">
        <f t="shared" si="11"/>
        <v>1</v>
      </c>
    </row>
    <row r="346" spans="1:6" x14ac:dyDescent="0.3">
      <c r="A346" s="2" t="s">
        <v>168</v>
      </c>
      <c r="B346" s="2" t="s">
        <v>315</v>
      </c>
      <c r="C346" s="16">
        <f t="shared" si="10"/>
        <v>1</v>
      </c>
      <c r="D346" s="2" t="s">
        <v>321</v>
      </c>
      <c r="E346" s="17" t="s">
        <v>1142</v>
      </c>
      <c r="F346" s="2">
        <f t="shared" si="11"/>
        <v>0</v>
      </c>
    </row>
    <row r="347" spans="1:6" x14ac:dyDescent="0.3">
      <c r="A347" s="2" t="s">
        <v>666</v>
      </c>
      <c r="B347" s="2" t="s">
        <v>315</v>
      </c>
      <c r="C347" s="16">
        <f t="shared" si="10"/>
        <v>1</v>
      </c>
      <c r="D347" s="2" t="s">
        <v>316</v>
      </c>
      <c r="E347" s="17" t="s">
        <v>1141</v>
      </c>
      <c r="F347" s="2">
        <f t="shared" si="11"/>
        <v>0</v>
      </c>
    </row>
    <row r="348" spans="1:6" x14ac:dyDescent="0.3">
      <c r="A348" s="2" t="s">
        <v>141</v>
      </c>
      <c r="B348" s="2" t="s">
        <v>315</v>
      </c>
      <c r="C348" s="16">
        <f t="shared" si="10"/>
        <v>1</v>
      </c>
      <c r="D348" s="2" t="s">
        <v>315</v>
      </c>
      <c r="E348" s="17" t="s">
        <v>1143</v>
      </c>
      <c r="F348" s="2">
        <f t="shared" si="11"/>
        <v>1</v>
      </c>
    </row>
    <row r="349" spans="1:6" x14ac:dyDescent="0.3">
      <c r="A349" s="2" t="s">
        <v>223</v>
      </c>
      <c r="B349" s="2" t="s">
        <v>315</v>
      </c>
      <c r="C349" s="16">
        <f t="shared" si="10"/>
        <v>1</v>
      </c>
      <c r="D349" s="2" t="s">
        <v>316</v>
      </c>
      <c r="E349" s="17" t="s">
        <v>1141</v>
      </c>
      <c r="F349" s="2">
        <f t="shared" si="11"/>
        <v>0</v>
      </c>
    </row>
    <row r="350" spans="1:6" x14ac:dyDescent="0.3">
      <c r="A350" s="2" t="s">
        <v>198</v>
      </c>
      <c r="B350" s="2" t="s">
        <v>315</v>
      </c>
      <c r="C350" s="16">
        <f t="shared" si="10"/>
        <v>1</v>
      </c>
      <c r="D350" s="2" t="s">
        <v>316</v>
      </c>
      <c r="E350" s="17" t="s">
        <v>1141</v>
      </c>
      <c r="F350" s="2">
        <f t="shared" si="11"/>
        <v>0</v>
      </c>
    </row>
    <row r="351" spans="1:6" x14ac:dyDescent="0.3">
      <c r="A351" s="2" t="s">
        <v>219</v>
      </c>
      <c r="B351" s="2" t="s">
        <v>315</v>
      </c>
      <c r="C351" s="16">
        <f t="shared" si="10"/>
        <v>1</v>
      </c>
      <c r="D351" s="2" t="s">
        <v>315</v>
      </c>
      <c r="E351" s="17" t="s">
        <v>1143</v>
      </c>
      <c r="F351" s="2">
        <f t="shared" si="11"/>
        <v>1</v>
      </c>
    </row>
    <row r="352" spans="1:6" x14ac:dyDescent="0.3">
      <c r="A352" s="2" t="s">
        <v>166</v>
      </c>
      <c r="B352" s="2" t="s">
        <v>315</v>
      </c>
      <c r="C352" s="16">
        <f t="shared" si="10"/>
        <v>1</v>
      </c>
      <c r="D352" s="2" t="s">
        <v>316</v>
      </c>
      <c r="E352" s="17" t="s">
        <v>1141</v>
      </c>
      <c r="F352" s="2">
        <f t="shared" si="11"/>
        <v>0</v>
      </c>
    </row>
    <row r="353" spans="1:6" x14ac:dyDescent="0.3">
      <c r="A353" s="2" t="s">
        <v>835</v>
      </c>
      <c r="B353" s="2" t="s">
        <v>315</v>
      </c>
      <c r="C353" s="16">
        <f t="shared" si="10"/>
        <v>1</v>
      </c>
      <c r="D353" s="2" t="s">
        <v>315</v>
      </c>
      <c r="E353" s="17" t="s">
        <v>1143</v>
      </c>
      <c r="F353" s="2">
        <f t="shared" si="11"/>
        <v>1</v>
      </c>
    </row>
    <row r="354" spans="1:6" x14ac:dyDescent="0.3">
      <c r="A354" s="2" t="s">
        <v>778</v>
      </c>
      <c r="B354" s="2" t="s">
        <v>315</v>
      </c>
      <c r="C354" s="16">
        <f t="shared" si="10"/>
        <v>1</v>
      </c>
      <c r="D354" s="2" t="s">
        <v>1095</v>
      </c>
      <c r="E354" s="17" t="s">
        <v>1144</v>
      </c>
      <c r="F354" s="2">
        <f t="shared" si="11"/>
        <v>1</v>
      </c>
    </row>
    <row r="355" spans="1:6" x14ac:dyDescent="0.3">
      <c r="A355" s="2" t="s">
        <v>669</v>
      </c>
      <c r="B355" s="2" t="s">
        <v>315</v>
      </c>
      <c r="C355" s="16">
        <f t="shared" si="10"/>
        <v>1</v>
      </c>
      <c r="D355" s="2" t="s">
        <v>321</v>
      </c>
      <c r="E355" s="17" t="s">
        <v>1142</v>
      </c>
      <c r="F355" s="2">
        <f t="shared" si="11"/>
        <v>0</v>
      </c>
    </row>
    <row r="356" spans="1:6" x14ac:dyDescent="0.3">
      <c r="A356" s="2" t="s">
        <v>747</v>
      </c>
      <c r="B356" s="2" t="s">
        <v>315</v>
      </c>
      <c r="C356" s="16">
        <f t="shared" si="10"/>
        <v>1</v>
      </c>
      <c r="D356" s="2" t="s">
        <v>1095</v>
      </c>
      <c r="E356" s="17" t="s">
        <v>1144</v>
      </c>
      <c r="F356" s="2">
        <f t="shared" si="11"/>
        <v>1</v>
      </c>
    </row>
    <row r="357" spans="1:6" x14ac:dyDescent="0.3">
      <c r="A357" s="2" t="s">
        <v>932</v>
      </c>
      <c r="B357" s="2" t="s">
        <v>315</v>
      </c>
      <c r="C357" s="16">
        <f t="shared" si="10"/>
        <v>1</v>
      </c>
      <c r="D357" s="2" t="s">
        <v>1095</v>
      </c>
      <c r="E357" s="17" t="s">
        <v>1144</v>
      </c>
      <c r="F357" s="2">
        <f t="shared" si="11"/>
        <v>1</v>
      </c>
    </row>
    <row r="358" spans="1:6" x14ac:dyDescent="0.3">
      <c r="A358" s="2" t="s">
        <v>862</v>
      </c>
      <c r="B358" s="2" t="s">
        <v>315</v>
      </c>
      <c r="C358" s="16">
        <f t="shared" si="10"/>
        <v>1</v>
      </c>
      <c r="D358" s="2" t="s">
        <v>316</v>
      </c>
      <c r="E358" s="17" t="s">
        <v>1141</v>
      </c>
      <c r="F358" s="2">
        <f t="shared" si="11"/>
        <v>0</v>
      </c>
    </row>
    <row r="359" spans="1:6" x14ac:dyDescent="0.3">
      <c r="A359" s="2" t="s">
        <v>759</v>
      </c>
      <c r="B359" s="2" t="s">
        <v>315</v>
      </c>
      <c r="C359" s="16">
        <f t="shared" si="10"/>
        <v>1</v>
      </c>
      <c r="D359" s="2" t="s">
        <v>321</v>
      </c>
      <c r="E359" s="17" t="s">
        <v>1142</v>
      </c>
      <c r="F359" s="2">
        <f t="shared" si="11"/>
        <v>0</v>
      </c>
    </row>
    <row r="360" spans="1:6" x14ac:dyDescent="0.3">
      <c r="A360" s="2" t="s">
        <v>819</v>
      </c>
      <c r="B360" s="2" t="s">
        <v>315</v>
      </c>
      <c r="C360" s="16">
        <f t="shared" si="10"/>
        <v>1</v>
      </c>
      <c r="D360" s="2" t="s">
        <v>315</v>
      </c>
      <c r="E360" s="17" t="s">
        <v>1143</v>
      </c>
      <c r="F360" s="2">
        <f t="shared" si="11"/>
        <v>1</v>
      </c>
    </row>
    <row r="361" spans="1:6" x14ac:dyDescent="0.3">
      <c r="A361" s="2" t="s">
        <v>704</v>
      </c>
      <c r="B361" s="2" t="s">
        <v>315</v>
      </c>
      <c r="C361" s="16">
        <f t="shared" si="10"/>
        <v>1</v>
      </c>
      <c r="D361" s="2" t="s">
        <v>1095</v>
      </c>
      <c r="E361" s="17" t="s">
        <v>1144</v>
      </c>
      <c r="F361" s="2">
        <f t="shared" si="11"/>
        <v>1</v>
      </c>
    </row>
    <row r="362" spans="1:6" x14ac:dyDescent="0.3">
      <c r="A362" s="2" t="s">
        <v>779</v>
      </c>
      <c r="B362" s="2" t="s">
        <v>315</v>
      </c>
      <c r="C362" s="16">
        <f t="shared" si="10"/>
        <v>1</v>
      </c>
      <c r="D362" s="2" t="s">
        <v>1095</v>
      </c>
      <c r="E362" s="17" t="s">
        <v>1144</v>
      </c>
      <c r="F362" s="2">
        <f t="shared" si="11"/>
        <v>1</v>
      </c>
    </row>
    <row r="363" spans="1:6" x14ac:dyDescent="0.3">
      <c r="A363" s="2" t="s">
        <v>221</v>
      </c>
      <c r="B363" s="2" t="s">
        <v>315</v>
      </c>
      <c r="C363" s="16">
        <f t="shared" si="10"/>
        <v>1</v>
      </c>
      <c r="D363" s="2" t="s">
        <v>316</v>
      </c>
      <c r="E363" s="17" t="s">
        <v>1141</v>
      </c>
      <c r="F363" s="2">
        <f t="shared" si="11"/>
        <v>0</v>
      </c>
    </row>
    <row r="364" spans="1:6" x14ac:dyDescent="0.3">
      <c r="A364" s="2" t="s">
        <v>853</v>
      </c>
      <c r="B364" s="2" t="s">
        <v>315</v>
      </c>
      <c r="C364" s="16">
        <f t="shared" si="10"/>
        <v>1</v>
      </c>
      <c r="D364" s="2" t="s">
        <v>1095</v>
      </c>
      <c r="E364" s="17" t="s">
        <v>1144</v>
      </c>
      <c r="F364" s="2">
        <f t="shared" si="11"/>
        <v>1</v>
      </c>
    </row>
    <row r="365" spans="1:6" x14ac:dyDescent="0.3">
      <c r="A365" s="2" t="s">
        <v>804</v>
      </c>
      <c r="B365" s="2" t="s">
        <v>315</v>
      </c>
      <c r="C365" s="16">
        <f t="shared" si="10"/>
        <v>1</v>
      </c>
      <c r="D365" s="2" t="s">
        <v>315</v>
      </c>
      <c r="E365" s="17" t="s">
        <v>1143</v>
      </c>
      <c r="F365" s="2">
        <f t="shared" si="11"/>
        <v>1</v>
      </c>
    </row>
    <row r="366" spans="1:6" x14ac:dyDescent="0.3">
      <c r="A366" s="2" t="s">
        <v>780</v>
      </c>
      <c r="B366" s="2" t="s">
        <v>315</v>
      </c>
      <c r="C366" s="16">
        <f t="shared" si="10"/>
        <v>1</v>
      </c>
      <c r="D366" s="2" t="s">
        <v>315</v>
      </c>
      <c r="E366" s="17" t="s">
        <v>1143</v>
      </c>
      <c r="F366" s="2">
        <f t="shared" si="11"/>
        <v>1</v>
      </c>
    </row>
    <row r="367" spans="1:6" x14ac:dyDescent="0.3">
      <c r="A367" s="2" t="s">
        <v>152</v>
      </c>
      <c r="B367" s="2" t="s">
        <v>315</v>
      </c>
      <c r="C367" s="16">
        <f t="shared" si="10"/>
        <v>1</v>
      </c>
      <c r="D367" s="2" t="s">
        <v>316</v>
      </c>
      <c r="E367" s="17" t="s">
        <v>1141</v>
      </c>
      <c r="F367" s="2">
        <f t="shared" si="11"/>
        <v>0</v>
      </c>
    </row>
    <row r="368" spans="1:6" x14ac:dyDescent="0.3">
      <c r="A368" s="2" t="s">
        <v>684</v>
      </c>
      <c r="B368" s="2" t="s">
        <v>315</v>
      </c>
      <c r="C368" s="16">
        <f t="shared" si="10"/>
        <v>1</v>
      </c>
      <c r="D368" s="2" t="s">
        <v>315</v>
      </c>
      <c r="E368" s="17" t="s">
        <v>1143</v>
      </c>
      <c r="F368" s="2">
        <f t="shared" si="11"/>
        <v>1</v>
      </c>
    </row>
    <row r="369" spans="1:6" x14ac:dyDescent="0.3">
      <c r="A369" s="2" t="s">
        <v>894</v>
      </c>
      <c r="B369" s="2" t="s">
        <v>315</v>
      </c>
      <c r="C369" s="16">
        <f t="shared" si="10"/>
        <v>1</v>
      </c>
      <c r="D369" s="2" t="s">
        <v>321</v>
      </c>
      <c r="E369" s="17" t="s">
        <v>1142</v>
      </c>
      <c r="F369" s="2">
        <f t="shared" si="11"/>
        <v>0</v>
      </c>
    </row>
    <row r="370" spans="1:6" x14ac:dyDescent="0.3">
      <c r="A370" s="2" t="s">
        <v>936</v>
      </c>
      <c r="B370" s="2" t="s">
        <v>315</v>
      </c>
      <c r="C370" s="16">
        <f t="shared" si="10"/>
        <v>1</v>
      </c>
      <c r="D370" s="2" t="s">
        <v>1095</v>
      </c>
      <c r="E370" s="17" t="s">
        <v>1144</v>
      </c>
      <c r="F370" s="2">
        <f t="shared" si="11"/>
        <v>1</v>
      </c>
    </row>
    <row r="371" spans="1:6" x14ac:dyDescent="0.3">
      <c r="A371" s="2" t="s">
        <v>173</v>
      </c>
      <c r="B371" s="2" t="s">
        <v>315</v>
      </c>
      <c r="C371" s="16">
        <f t="shared" si="10"/>
        <v>1</v>
      </c>
      <c r="D371" s="2" t="s">
        <v>1095</v>
      </c>
      <c r="E371" s="17" t="s">
        <v>1144</v>
      </c>
      <c r="F371" s="2">
        <f t="shared" si="11"/>
        <v>1</v>
      </c>
    </row>
    <row r="372" spans="1:6" x14ac:dyDescent="0.3">
      <c r="A372" s="2" t="s">
        <v>139</v>
      </c>
      <c r="B372" s="2" t="s">
        <v>315</v>
      </c>
      <c r="C372" s="16">
        <f t="shared" si="10"/>
        <v>1</v>
      </c>
      <c r="D372" s="2" t="s">
        <v>315</v>
      </c>
      <c r="E372" s="17" t="s">
        <v>1143</v>
      </c>
      <c r="F372" s="2">
        <f t="shared" si="11"/>
        <v>1</v>
      </c>
    </row>
    <row r="373" spans="1:6" x14ac:dyDescent="0.3">
      <c r="A373" s="2" t="s">
        <v>749</v>
      </c>
      <c r="B373" s="2" t="s">
        <v>315</v>
      </c>
      <c r="C373" s="16">
        <f t="shared" si="10"/>
        <v>1</v>
      </c>
      <c r="D373" s="2" t="s">
        <v>1095</v>
      </c>
      <c r="E373" s="17" t="s">
        <v>1144</v>
      </c>
      <c r="F373" s="2">
        <f t="shared" si="11"/>
        <v>1</v>
      </c>
    </row>
    <row r="374" spans="1:6" x14ac:dyDescent="0.3">
      <c r="A374" s="2" t="s">
        <v>744</v>
      </c>
      <c r="B374" s="2" t="s">
        <v>315</v>
      </c>
      <c r="C374" s="16">
        <f t="shared" si="10"/>
        <v>1</v>
      </c>
      <c r="D374" s="2" t="s">
        <v>321</v>
      </c>
      <c r="E374" s="17" t="s">
        <v>1142</v>
      </c>
      <c r="F374" s="2">
        <f t="shared" si="11"/>
        <v>0</v>
      </c>
    </row>
    <row r="375" spans="1:6" x14ac:dyDescent="0.3">
      <c r="A375" s="2" t="s">
        <v>696</v>
      </c>
      <c r="B375" s="2" t="s">
        <v>315</v>
      </c>
      <c r="C375" s="16">
        <f t="shared" si="10"/>
        <v>1</v>
      </c>
      <c r="D375" s="2" t="s">
        <v>316</v>
      </c>
      <c r="E375" s="17" t="s">
        <v>1141</v>
      </c>
      <c r="F375" s="2">
        <f t="shared" si="11"/>
        <v>0</v>
      </c>
    </row>
    <row r="376" spans="1:6" x14ac:dyDescent="0.3">
      <c r="A376" s="2" t="s">
        <v>192</v>
      </c>
      <c r="B376" s="2" t="s">
        <v>315</v>
      </c>
      <c r="C376" s="16">
        <f t="shared" si="10"/>
        <v>1</v>
      </c>
      <c r="D376" s="2" t="s">
        <v>321</v>
      </c>
      <c r="E376" s="17" t="s">
        <v>1142</v>
      </c>
      <c r="F376" s="2">
        <f t="shared" si="11"/>
        <v>0</v>
      </c>
    </row>
    <row r="377" spans="1:6" x14ac:dyDescent="0.3">
      <c r="A377" s="2" t="s">
        <v>931</v>
      </c>
      <c r="B377" s="2" t="s">
        <v>315</v>
      </c>
      <c r="C377" s="16">
        <f t="shared" si="10"/>
        <v>1</v>
      </c>
      <c r="D377" s="2" t="s">
        <v>316</v>
      </c>
      <c r="E377" s="17" t="s">
        <v>1141</v>
      </c>
      <c r="F377" s="2">
        <f t="shared" si="11"/>
        <v>0</v>
      </c>
    </row>
    <row r="378" spans="1:6" x14ac:dyDescent="0.3">
      <c r="A378" s="2" t="s">
        <v>811</v>
      </c>
      <c r="B378" s="2" t="s">
        <v>315</v>
      </c>
      <c r="C378" s="16">
        <f t="shared" si="10"/>
        <v>1</v>
      </c>
      <c r="D378" s="2" t="s">
        <v>1095</v>
      </c>
      <c r="E378" s="17" t="s">
        <v>1144</v>
      </c>
      <c r="F378" s="2">
        <f t="shared" si="11"/>
        <v>1</v>
      </c>
    </row>
    <row r="379" spans="1:6" x14ac:dyDescent="0.3">
      <c r="A379" s="2" t="s">
        <v>212</v>
      </c>
      <c r="B379" s="2" t="s">
        <v>315</v>
      </c>
      <c r="C379" s="16">
        <f t="shared" si="10"/>
        <v>1</v>
      </c>
      <c r="D379" s="2" t="s">
        <v>321</v>
      </c>
      <c r="E379" s="17" t="s">
        <v>1142</v>
      </c>
      <c r="F379" s="2">
        <f t="shared" si="11"/>
        <v>0</v>
      </c>
    </row>
    <row r="380" spans="1:6" x14ac:dyDescent="0.3">
      <c r="A380" s="2" t="s">
        <v>177</v>
      </c>
      <c r="B380" s="2" t="s">
        <v>315</v>
      </c>
      <c r="C380" s="16">
        <f t="shared" si="10"/>
        <v>1</v>
      </c>
      <c r="D380" s="2" t="s">
        <v>321</v>
      </c>
      <c r="E380" s="17" t="s">
        <v>1142</v>
      </c>
      <c r="F380" s="2">
        <f t="shared" si="11"/>
        <v>0</v>
      </c>
    </row>
    <row r="381" spans="1:6" x14ac:dyDescent="0.3">
      <c r="A381" s="2" t="s">
        <v>195</v>
      </c>
      <c r="B381" s="2" t="s">
        <v>315</v>
      </c>
      <c r="C381" s="16">
        <f t="shared" si="10"/>
        <v>1</v>
      </c>
      <c r="D381" s="2" t="s">
        <v>316</v>
      </c>
      <c r="E381" s="17" t="s">
        <v>1141</v>
      </c>
      <c r="F381" s="2">
        <f t="shared" si="11"/>
        <v>0</v>
      </c>
    </row>
    <row r="382" spans="1:6" x14ac:dyDescent="0.3">
      <c r="A382" s="2" t="s">
        <v>661</v>
      </c>
      <c r="B382" s="2" t="s">
        <v>315</v>
      </c>
      <c r="C382" s="16">
        <f t="shared" si="10"/>
        <v>1</v>
      </c>
      <c r="D382" s="2" t="s">
        <v>315</v>
      </c>
      <c r="E382" s="17" t="s">
        <v>1143</v>
      </c>
      <c r="F382" s="2">
        <f t="shared" si="11"/>
        <v>1</v>
      </c>
    </row>
    <row r="383" spans="1:6" x14ac:dyDescent="0.3">
      <c r="A383" s="2" t="s">
        <v>918</v>
      </c>
      <c r="B383" s="2" t="s">
        <v>315</v>
      </c>
      <c r="C383" s="16">
        <f t="shared" si="10"/>
        <v>1</v>
      </c>
      <c r="D383" s="2" t="s">
        <v>1095</v>
      </c>
      <c r="E383" s="17" t="s">
        <v>1144</v>
      </c>
      <c r="F383" s="2">
        <f t="shared" si="11"/>
        <v>1</v>
      </c>
    </row>
    <row r="384" spans="1:6" x14ac:dyDescent="0.3">
      <c r="A384" s="2" t="s">
        <v>676</v>
      </c>
      <c r="B384" s="2" t="s">
        <v>315</v>
      </c>
      <c r="C384" s="16">
        <f t="shared" si="10"/>
        <v>1</v>
      </c>
      <c r="D384" s="2" t="s">
        <v>1095</v>
      </c>
      <c r="E384" s="17" t="s">
        <v>1144</v>
      </c>
      <c r="F384" s="2">
        <f t="shared" si="11"/>
        <v>1</v>
      </c>
    </row>
    <row r="385" spans="1:6" x14ac:dyDescent="0.3">
      <c r="A385" s="2" t="s">
        <v>798</v>
      </c>
      <c r="B385" s="2" t="s">
        <v>315</v>
      </c>
      <c r="C385" s="16">
        <f t="shared" si="10"/>
        <v>1</v>
      </c>
      <c r="D385" s="2" t="s">
        <v>315</v>
      </c>
      <c r="E385" s="17" t="s">
        <v>1143</v>
      </c>
      <c r="F385" s="2">
        <f t="shared" si="11"/>
        <v>1</v>
      </c>
    </row>
    <row r="386" spans="1:6" x14ac:dyDescent="0.3">
      <c r="A386" s="2" t="s">
        <v>794</v>
      </c>
      <c r="B386" s="2" t="s">
        <v>315</v>
      </c>
      <c r="C386" s="16">
        <f t="shared" ref="C386:C401" si="12">IF(B386="Yes",1,0)</f>
        <v>1</v>
      </c>
      <c r="D386" s="2" t="s">
        <v>321</v>
      </c>
      <c r="E386" s="17" t="s">
        <v>1142</v>
      </c>
      <c r="F386" s="2">
        <f t="shared" ref="F386:F401" si="13">IF(OR(E386="Low risk",E386="Medium risk"),0,1)</f>
        <v>0</v>
      </c>
    </row>
    <row r="387" spans="1:6" x14ac:dyDescent="0.3">
      <c r="A387" s="2" t="s">
        <v>725</v>
      </c>
      <c r="B387" s="2" t="s">
        <v>315</v>
      </c>
      <c r="C387" s="16">
        <f t="shared" si="12"/>
        <v>1</v>
      </c>
      <c r="D387" s="2" t="s">
        <v>316</v>
      </c>
      <c r="E387" s="17" t="s">
        <v>1141</v>
      </c>
      <c r="F387" s="2">
        <f t="shared" si="13"/>
        <v>0</v>
      </c>
    </row>
    <row r="388" spans="1:6" x14ac:dyDescent="0.3">
      <c r="A388" s="2" t="s">
        <v>203</v>
      </c>
      <c r="B388" s="2" t="s">
        <v>315</v>
      </c>
      <c r="C388" s="16">
        <f t="shared" si="12"/>
        <v>1</v>
      </c>
      <c r="D388" s="2" t="s">
        <v>316</v>
      </c>
      <c r="E388" s="17" t="s">
        <v>1141</v>
      </c>
      <c r="F388" s="2">
        <f t="shared" si="13"/>
        <v>0</v>
      </c>
    </row>
    <row r="389" spans="1:6" x14ac:dyDescent="0.3">
      <c r="A389" s="2" t="s">
        <v>699</v>
      </c>
      <c r="B389" s="2" t="s">
        <v>315</v>
      </c>
      <c r="C389" s="16">
        <f t="shared" si="12"/>
        <v>1</v>
      </c>
      <c r="D389" s="2" t="s">
        <v>316</v>
      </c>
      <c r="E389" s="17" t="s">
        <v>1141</v>
      </c>
      <c r="F389" s="2">
        <f t="shared" si="13"/>
        <v>0</v>
      </c>
    </row>
    <row r="390" spans="1:6" x14ac:dyDescent="0.3">
      <c r="A390" s="2" t="s">
        <v>727</v>
      </c>
      <c r="B390" s="2" t="s">
        <v>315</v>
      </c>
      <c r="C390" s="16">
        <f t="shared" si="12"/>
        <v>1</v>
      </c>
      <c r="D390" s="2" t="s">
        <v>1095</v>
      </c>
      <c r="E390" s="17" t="s">
        <v>1144</v>
      </c>
      <c r="F390" s="2">
        <f t="shared" si="13"/>
        <v>1</v>
      </c>
    </row>
    <row r="391" spans="1:6" x14ac:dyDescent="0.3">
      <c r="A391" s="2" t="s">
        <v>702</v>
      </c>
      <c r="B391" s="2" t="s">
        <v>315</v>
      </c>
      <c r="C391" s="16">
        <f t="shared" si="12"/>
        <v>1</v>
      </c>
      <c r="D391" s="2" t="s">
        <v>315</v>
      </c>
      <c r="E391" s="17" t="s">
        <v>1143</v>
      </c>
      <c r="F391" s="2">
        <f t="shared" si="13"/>
        <v>1</v>
      </c>
    </row>
    <row r="392" spans="1:6" x14ac:dyDescent="0.3">
      <c r="A392" s="2" t="s">
        <v>934</v>
      </c>
      <c r="B392" s="2" t="s">
        <v>315</v>
      </c>
      <c r="C392" s="16">
        <f t="shared" si="12"/>
        <v>1</v>
      </c>
      <c r="D392" s="2" t="s">
        <v>316</v>
      </c>
      <c r="E392" s="17" t="s">
        <v>1141</v>
      </c>
      <c r="F392" s="2">
        <f t="shared" si="13"/>
        <v>0</v>
      </c>
    </row>
    <row r="393" spans="1:6" x14ac:dyDescent="0.3">
      <c r="A393" s="2" t="s">
        <v>950</v>
      </c>
      <c r="B393" s="2" t="s">
        <v>315</v>
      </c>
      <c r="C393" s="16">
        <f t="shared" si="12"/>
        <v>1</v>
      </c>
      <c r="D393" s="2" t="s">
        <v>1095</v>
      </c>
      <c r="E393" s="17" t="s">
        <v>1144</v>
      </c>
      <c r="F393" s="2">
        <f t="shared" si="13"/>
        <v>1</v>
      </c>
    </row>
    <row r="394" spans="1:6" x14ac:dyDescent="0.3">
      <c r="A394" s="2" t="s">
        <v>158</v>
      </c>
      <c r="B394" s="2" t="s">
        <v>315</v>
      </c>
      <c r="C394" s="16">
        <f t="shared" si="12"/>
        <v>1</v>
      </c>
      <c r="D394" s="2" t="s">
        <v>321</v>
      </c>
      <c r="E394" s="17" t="s">
        <v>1142</v>
      </c>
      <c r="F394" s="2">
        <f t="shared" si="13"/>
        <v>0</v>
      </c>
    </row>
    <row r="395" spans="1:6" x14ac:dyDescent="0.3">
      <c r="A395" s="2" t="s">
        <v>148</v>
      </c>
      <c r="B395" s="2" t="s">
        <v>315</v>
      </c>
      <c r="C395" s="16">
        <f t="shared" si="12"/>
        <v>1</v>
      </c>
      <c r="D395" s="2" t="s">
        <v>316</v>
      </c>
      <c r="E395" s="17" t="s">
        <v>1141</v>
      </c>
      <c r="F395" s="2">
        <f t="shared" si="13"/>
        <v>0</v>
      </c>
    </row>
    <row r="396" spans="1:6" x14ac:dyDescent="0.3">
      <c r="A396" s="2" t="s">
        <v>205</v>
      </c>
      <c r="B396" s="2" t="s">
        <v>315</v>
      </c>
      <c r="C396" s="16">
        <f t="shared" si="12"/>
        <v>1</v>
      </c>
      <c r="D396" s="2" t="s">
        <v>315</v>
      </c>
      <c r="E396" s="17" t="s">
        <v>1143</v>
      </c>
      <c r="F396" s="2">
        <f t="shared" si="13"/>
        <v>1</v>
      </c>
    </row>
    <row r="397" spans="1:6" x14ac:dyDescent="0.3">
      <c r="A397" s="2" t="s">
        <v>823</v>
      </c>
      <c r="B397" s="2" t="s">
        <v>315</v>
      </c>
      <c r="C397" s="16">
        <f t="shared" si="12"/>
        <v>1</v>
      </c>
      <c r="D397" s="2" t="s">
        <v>1095</v>
      </c>
      <c r="E397" s="17" t="s">
        <v>1144</v>
      </c>
      <c r="F397" s="2">
        <f t="shared" si="13"/>
        <v>1</v>
      </c>
    </row>
    <row r="398" spans="1:6" x14ac:dyDescent="0.3">
      <c r="A398" s="2" t="s">
        <v>738</v>
      </c>
      <c r="B398" s="2" t="s">
        <v>315</v>
      </c>
      <c r="C398" s="16">
        <f t="shared" si="12"/>
        <v>1</v>
      </c>
      <c r="D398" s="2" t="s">
        <v>321</v>
      </c>
      <c r="E398" s="17" t="s">
        <v>1142</v>
      </c>
      <c r="F398" s="2">
        <f t="shared" si="13"/>
        <v>0</v>
      </c>
    </row>
    <row r="399" spans="1:6" x14ac:dyDescent="0.3">
      <c r="A399" s="2" t="s">
        <v>912</v>
      </c>
      <c r="B399" s="2" t="s">
        <v>315</v>
      </c>
      <c r="C399" s="16">
        <f t="shared" si="12"/>
        <v>1</v>
      </c>
      <c r="D399" s="2" t="s">
        <v>315</v>
      </c>
      <c r="E399" s="17" t="s">
        <v>1143</v>
      </c>
      <c r="F399" s="2">
        <f t="shared" si="13"/>
        <v>1</v>
      </c>
    </row>
    <row r="400" spans="1:6" x14ac:dyDescent="0.3">
      <c r="A400" s="2" t="s">
        <v>909</v>
      </c>
      <c r="B400" s="2" t="s">
        <v>315</v>
      </c>
      <c r="C400" s="16">
        <f t="shared" si="12"/>
        <v>1</v>
      </c>
      <c r="D400" s="2" t="s">
        <v>1095</v>
      </c>
      <c r="E400" s="17" t="s">
        <v>1144</v>
      </c>
      <c r="F400" s="2">
        <f t="shared" si="13"/>
        <v>1</v>
      </c>
    </row>
    <row r="401" spans="1:6" x14ac:dyDescent="0.3">
      <c r="A401" s="2" t="s">
        <v>882</v>
      </c>
      <c r="B401" s="2" t="s">
        <v>315</v>
      </c>
      <c r="C401" s="16">
        <f t="shared" si="12"/>
        <v>1</v>
      </c>
      <c r="D401" s="2" t="s">
        <v>321</v>
      </c>
      <c r="E401" s="17" t="s">
        <v>1142</v>
      </c>
      <c r="F401" s="2">
        <f t="shared" si="13"/>
        <v>0</v>
      </c>
    </row>
  </sheetData>
  <autoFilter ref="B1:F401" xr:uid="{5005A44A-F1BE-407C-B935-4E38037D9885}">
    <sortState xmlns:xlrd2="http://schemas.microsoft.com/office/spreadsheetml/2017/richdata2" ref="B2:F401">
      <sortCondition ref="B1:B401"/>
    </sortState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B571-B10C-44EA-A4BC-D2115DF5EAB6}">
  <dimension ref="A1:H401"/>
  <sheetViews>
    <sheetView workbookViewId="0">
      <selection activeCell="B14" sqref="B14"/>
    </sheetView>
  </sheetViews>
  <sheetFormatPr defaultRowHeight="14.4" x14ac:dyDescent="0.3"/>
  <cols>
    <col min="1" max="1" width="24.33203125" bestFit="1" customWidth="1"/>
    <col min="2" max="2" width="21.33203125" style="18" customWidth="1"/>
    <col min="3" max="3" width="10.21875" customWidth="1"/>
    <col min="4" max="4" width="20.44140625" customWidth="1"/>
    <col min="5" max="5" width="13.5546875" customWidth="1"/>
    <col min="6" max="6" width="15.21875" style="18" customWidth="1"/>
    <col min="7" max="7" width="13" bestFit="1" customWidth="1"/>
    <col min="8" max="8" width="13.5546875" customWidth="1"/>
  </cols>
  <sheetData>
    <row r="1" spans="1:8" ht="67.2" customHeight="1" x14ac:dyDescent="0.3">
      <c r="A1" s="3" t="s">
        <v>2</v>
      </c>
      <c r="B1" s="14" t="s">
        <v>22</v>
      </c>
      <c r="C1" s="14" t="s">
        <v>1146</v>
      </c>
      <c r="D1" s="14" t="s">
        <v>23</v>
      </c>
      <c r="E1" s="19" t="s">
        <v>1147</v>
      </c>
      <c r="F1" s="14" t="s">
        <v>24</v>
      </c>
      <c r="G1" s="14" t="s">
        <v>1148</v>
      </c>
      <c r="H1" s="14" t="s">
        <v>1149</v>
      </c>
    </row>
    <row r="2" spans="1:8" x14ac:dyDescent="0.3">
      <c r="A2" s="2" t="s">
        <v>836</v>
      </c>
      <c r="B2" s="17" t="s">
        <v>316</v>
      </c>
      <c r="C2" s="2">
        <f t="shared" ref="C2:C65" si="0">IF(B2="Yes",1,0)</f>
        <v>0</v>
      </c>
      <c r="D2" s="2" t="s">
        <v>317</v>
      </c>
      <c r="E2" s="2">
        <f t="shared" ref="E2:E65" si="1">IF(D2="Needs Improvement",1,IF(D2="Meets Expectations",2,IF(D2="Exceeds Expectations",3,IF(D2="Outstanding",4,"Unknown"))))</f>
        <v>2</v>
      </c>
      <c r="F2" s="17" t="s">
        <v>315</v>
      </c>
      <c r="G2" s="2">
        <f t="shared" ref="G2:G65" si="2">IF(F2="Yes",1,0)</f>
        <v>1</v>
      </c>
      <c r="H2" s="2">
        <f>E2*C2</f>
        <v>0</v>
      </c>
    </row>
    <row r="3" spans="1:8" x14ac:dyDescent="0.3">
      <c r="A3" s="2" t="s">
        <v>807</v>
      </c>
      <c r="B3" s="17" t="s">
        <v>316</v>
      </c>
      <c r="C3" s="2">
        <f t="shared" si="0"/>
        <v>0</v>
      </c>
      <c r="D3" s="2" t="s">
        <v>318</v>
      </c>
      <c r="E3" s="2">
        <f t="shared" si="1"/>
        <v>3</v>
      </c>
      <c r="F3" s="17" t="s">
        <v>315</v>
      </c>
      <c r="G3" s="2">
        <f t="shared" si="2"/>
        <v>1</v>
      </c>
      <c r="H3" s="2">
        <f t="shared" ref="H3:H66" si="3">E3*C3</f>
        <v>0</v>
      </c>
    </row>
    <row r="4" spans="1:8" x14ac:dyDescent="0.3">
      <c r="A4" s="2" t="s">
        <v>150</v>
      </c>
      <c r="B4" s="17" t="s">
        <v>316</v>
      </c>
      <c r="C4" s="2">
        <f t="shared" si="0"/>
        <v>0</v>
      </c>
      <c r="D4" s="2" t="s">
        <v>320</v>
      </c>
      <c r="E4" s="2">
        <f t="shared" si="1"/>
        <v>1</v>
      </c>
      <c r="F4" s="17" t="s">
        <v>316</v>
      </c>
      <c r="G4" s="2">
        <f t="shared" si="2"/>
        <v>0</v>
      </c>
      <c r="H4" s="2">
        <f t="shared" si="3"/>
        <v>0</v>
      </c>
    </row>
    <row r="5" spans="1:8" x14ac:dyDescent="0.3">
      <c r="A5" s="2" t="s">
        <v>190</v>
      </c>
      <c r="B5" s="17" t="s">
        <v>316</v>
      </c>
      <c r="C5" s="2">
        <f t="shared" si="0"/>
        <v>0</v>
      </c>
      <c r="D5" s="2" t="s">
        <v>319</v>
      </c>
      <c r="E5" s="2">
        <f t="shared" si="1"/>
        <v>4</v>
      </c>
      <c r="F5" s="17" t="s">
        <v>315</v>
      </c>
      <c r="G5" s="2">
        <f t="shared" si="2"/>
        <v>1</v>
      </c>
      <c r="H5" s="2">
        <f t="shared" si="3"/>
        <v>0</v>
      </c>
    </row>
    <row r="6" spans="1:8" x14ac:dyDescent="0.3">
      <c r="A6" s="2" t="s">
        <v>922</v>
      </c>
      <c r="B6" s="17" t="s">
        <v>316</v>
      </c>
      <c r="C6" s="2">
        <f t="shared" si="0"/>
        <v>0</v>
      </c>
      <c r="D6" s="2" t="s">
        <v>318</v>
      </c>
      <c r="E6" s="2">
        <f t="shared" si="1"/>
        <v>3</v>
      </c>
      <c r="F6" s="17" t="s">
        <v>316</v>
      </c>
      <c r="G6" s="2">
        <f t="shared" si="2"/>
        <v>0</v>
      </c>
      <c r="H6" s="2">
        <f t="shared" si="3"/>
        <v>0</v>
      </c>
    </row>
    <row r="7" spans="1:8" x14ac:dyDescent="0.3">
      <c r="A7" s="2" t="s">
        <v>215</v>
      </c>
      <c r="B7" s="17" t="s">
        <v>316</v>
      </c>
      <c r="C7" s="2">
        <f t="shared" si="0"/>
        <v>0</v>
      </c>
      <c r="D7" s="2" t="s">
        <v>317</v>
      </c>
      <c r="E7" s="2">
        <f t="shared" si="1"/>
        <v>2</v>
      </c>
      <c r="F7" s="17" t="s">
        <v>316</v>
      </c>
      <c r="G7" s="2">
        <f t="shared" si="2"/>
        <v>0</v>
      </c>
      <c r="H7" s="2">
        <f t="shared" si="3"/>
        <v>0</v>
      </c>
    </row>
    <row r="8" spans="1:8" x14ac:dyDescent="0.3">
      <c r="A8" s="2" t="s">
        <v>817</v>
      </c>
      <c r="B8" s="17" t="s">
        <v>316</v>
      </c>
      <c r="C8" s="2">
        <f t="shared" si="0"/>
        <v>0</v>
      </c>
      <c r="D8" s="2" t="s">
        <v>318</v>
      </c>
      <c r="E8" s="2">
        <f t="shared" si="1"/>
        <v>3</v>
      </c>
      <c r="F8" s="17" t="s">
        <v>316</v>
      </c>
      <c r="G8" s="2">
        <f t="shared" si="2"/>
        <v>0</v>
      </c>
      <c r="H8" s="2">
        <f t="shared" si="3"/>
        <v>0</v>
      </c>
    </row>
    <row r="9" spans="1:8" x14ac:dyDescent="0.3">
      <c r="A9" s="2" t="s">
        <v>740</v>
      </c>
      <c r="B9" s="17" t="s">
        <v>316</v>
      </c>
      <c r="C9" s="2">
        <f t="shared" si="0"/>
        <v>0</v>
      </c>
      <c r="D9" s="2" t="s">
        <v>319</v>
      </c>
      <c r="E9" s="2">
        <f t="shared" si="1"/>
        <v>4</v>
      </c>
      <c r="F9" s="17" t="s">
        <v>315</v>
      </c>
      <c r="G9" s="2">
        <f t="shared" si="2"/>
        <v>1</v>
      </c>
      <c r="H9" s="2">
        <f t="shared" si="3"/>
        <v>0</v>
      </c>
    </row>
    <row r="10" spans="1:8" x14ac:dyDescent="0.3">
      <c r="A10" s="2" t="s">
        <v>674</v>
      </c>
      <c r="B10" s="17" t="s">
        <v>316</v>
      </c>
      <c r="C10" s="2">
        <f t="shared" si="0"/>
        <v>0</v>
      </c>
      <c r="D10" s="2" t="s">
        <v>320</v>
      </c>
      <c r="E10" s="2">
        <f t="shared" si="1"/>
        <v>1</v>
      </c>
      <c r="F10" s="17" t="s">
        <v>316</v>
      </c>
      <c r="G10" s="2">
        <f t="shared" si="2"/>
        <v>0</v>
      </c>
      <c r="H10" s="2">
        <f t="shared" si="3"/>
        <v>0</v>
      </c>
    </row>
    <row r="11" spans="1:8" x14ac:dyDescent="0.3">
      <c r="A11" s="2" t="s">
        <v>920</v>
      </c>
      <c r="B11" s="17" t="s">
        <v>316</v>
      </c>
      <c r="C11" s="2">
        <f t="shared" si="0"/>
        <v>0</v>
      </c>
      <c r="D11" s="2" t="s">
        <v>319</v>
      </c>
      <c r="E11" s="2">
        <f t="shared" si="1"/>
        <v>4</v>
      </c>
      <c r="F11" s="17" t="s">
        <v>315</v>
      </c>
      <c r="G11" s="2">
        <f t="shared" si="2"/>
        <v>1</v>
      </c>
      <c r="H11" s="2">
        <f t="shared" si="3"/>
        <v>0</v>
      </c>
    </row>
    <row r="12" spans="1:8" x14ac:dyDescent="0.3">
      <c r="A12" s="2" t="s">
        <v>881</v>
      </c>
      <c r="B12" s="17" t="s">
        <v>316</v>
      </c>
      <c r="C12" s="2">
        <f t="shared" si="0"/>
        <v>0</v>
      </c>
      <c r="D12" s="2" t="s">
        <v>318</v>
      </c>
      <c r="E12" s="2">
        <f t="shared" si="1"/>
        <v>3</v>
      </c>
      <c r="F12" s="17" t="s">
        <v>316</v>
      </c>
      <c r="G12" s="2">
        <f t="shared" si="2"/>
        <v>0</v>
      </c>
      <c r="H12" s="2">
        <f t="shared" si="3"/>
        <v>0</v>
      </c>
    </row>
    <row r="13" spans="1:8" x14ac:dyDescent="0.3">
      <c r="A13" s="2" t="s">
        <v>163</v>
      </c>
      <c r="B13" s="17" t="s">
        <v>316</v>
      </c>
      <c r="C13" s="2">
        <f t="shared" si="0"/>
        <v>0</v>
      </c>
      <c r="D13" s="2" t="s">
        <v>319</v>
      </c>
      <c r="E13" s="2">
        <f t="shared" si="1"/>
        <v>4</v>
      </c>
      <c r="F13" s="17" t="s">
        <v>315</v>
      </c>
      <c r="G13" s="2">
        <f t="shared" si="2"/>
        <v>1</v>
      </c>
      <c r="H13" s="2">
        <f t="shared" si="3"/>
        <v>0</v>
      </c>
    </row>
    <row r="14" spans="1:8" x14ac:dyDescent="0.3">
      <c r="A14" s="2" t="s">
        <v>228</v>
      </c>
      <c r="B14" s="17" t="s">
        <v>316</v>
      </c>
      <c r="C14" s="2">
        <f t="shared" si="0"/>
        <v>0</v>
      </c>
      <c r="D14" s="2" t="s">
        <v>320</v>
      </c>
      <c r="E14" s="2">
        <f t="shared" si="1"/>
        <v>1</v>
      </c>
      <c r="F14" s="17" t="s">
        <v>316</v>
      </c>
      <c r="G14" s="2">
        <f t="shared" si="2"/>
        <v>0</v>
      </c>
      <c r="H14" s="2">
        <f t="shared" si="3"/>
        <v>0</v>
      </c>
    </row>
    <row r="15" spans="1:8" x14ac:dyDescent="0.3">
      <c r="A15" s="2" t="s">
        <v>709</v>
      </c>
      <c r="B15" s="17" t="s">
        <v>316</v>
      </c>
      <c r="C15" s="2">
        <f t="shared" si="0"/>
        <v>0</v>
      </c>
      <c r="D15" s="2" t="s">
        <v>319</v>
      </c>
      <c r="E15" s="2">
        <f t="shared" si="1"/>
        <v>4</v>
      </c>
      <c r="F15" s="17" t="s">
        <v>316</v>
      </c>
      <c r="G15" s="2">
        <f t="shared" si="2"/>
        <v>0</v>
      </c>
      <c r="H15" s="2">
        <f t="shared" si="3"/>
        <v>0</v>
      </c>
    </row>
    <row r="16" spans="1:8" x14ac:dyDescent="0.3">
      <c r="A16" s="2" t="s">
        <v>683</v>
      </c>
      <c r="B16" s="17" t="s">
        <v>316</v>
      </c>
      <c r="C16" s="2">
        <f t="shared" si="0"/>
        <v>0</v>
      </c>
      <c r="D16" s="2" t="s">
        <v>317</v>
      </c>
      <c r="E16" s="2">
        <f t="shared" si="1"/>
        <v>2</v>
      </c>
      <c r="F16" s="17" t="s">
        <v>316</v>
      </c>
      <c r="G16" s="2">
        <f t="shared" si="2"/>
        <v>0</v>
      </c>
      <c r="H16" s="2">
        <f t="shared" si="3"/>
        <v>0</v>
      </c>
    </row>
    <row r="17" spans="1:8" x14ac:dyDescent="0.3">
      <c r="A17" s="2" t="s">
        <v>711</v>
      </c>
      <c r="B17" s="17" t="s">
        <v>316</v>
      </c>
      <c r="C17" s="2">
        <f t="shared" si="0"/>
        <v>0</v>
      </c>
      <c r="D17" s="2" t="s">
        <v>317</v>
      </c>
      <c r="E17" s="2">
        <f t="shared" si="1"/>
        <v>2</v>
      </c>
      <c r="F17" s="17" t="s">
        <v>316</v>
      </c>
      <c r="G17" s="2">
        <f t="shared" si="2"/>
        <v>0</v>
      </c>
      <c r="H17" s="2">
        <f t="shared" si="3"/>
        <v>0</v>
      </c>
    </row>
    <row r="18" spans="1:8" x14ac:dyDescent="0.3">
      <c r="A18" s="2" t="s">
        <v>846</v>
      </c>
      <c r="B18" s="17" t="s">
        <v>316</v>
      </c>
      <c r="C18" s="2">
        <f t="shared" si="0"/>
        <v>0</v>
      </c>
      <c r="D18" s="2" t="s">
        <v>320</v>
      </c>
      <c r="E18" s="2">
        <f t="shared" si="1"/>
        <v>1</v>
      </c>
      <c r="F18" s="17" t="s">
        <v>316</v>
      </c>
      <c r="G18" s="2">
        <f t="shared" si="2"/>
        <v>0</v>
      </c>
      <c r="H18" s="2">
        <f t="shared" si="3"/>
        <v>0</v>
      </c>
    </row>
    <row r="19" spans="1:8" x14ac:dyDescent="0.3">
      <c r="A19" s="2" t="s">
        <v>214</v>
      </c>
      <c r="B19" s="17" t="s">
        <v>316</v>
      </c>
      <c r="C19" s="2">
        <f t="shared" si="0"/>
        <v>0</v>
      </c>
      <c r="D19" s="2" t="s">
        <v>319</v>
      </c>
      <c r="E19" s="2">
        <f t="shared" si="1"/>
        <v>4</v>
      </c>
      <c r="F19" s="17" t="s">
        <v>316</v>
      </c>
      <c r="G19" s="2">
        <f t="shared" si="2"/>
        <v>0</v>
      </c>
      <c r="H19" s="2">
        <f t="shared" si="3"/>
        <v>0</v>
      </c>
    </row>
    <row r="20" spans="1:8" x14ac:dyDescent="0.3">
      <c r="A20" s="2" t="s">
        <v>792</v>
      </c>
      <c r="B20" s="17" t="s">
        <v>316</v>
      </c>
      <c r="C20" s="2">
        <f t="shared" si="0"/>
        <v>0</v>
      </c>
      <c r="D20" s="2" t="s">
        <v>319</v>
      </c>
      <c r="E20" s="2">
        <f t="shared" si="1"/>
        <v>4</v>
      </c>
      <c r="F20" s="17" t="s">
        <v>315</v>
      </c>
      <c r="G20" s="2">
        <f t="shared" si="2"/>
        <v>1</v>
      </c>
      <c r="H20" s="2">
        <f t="shared" si="3"/>
        <v>0</v>
      </c>
    </row>
    <row r="21" spans="1:8" x14ac:dyDescent="0.3">
      <c r="A21" s="2" t="s">
        <v>703</v>
      </c>
      <c r="B21" s="17" t="s">
        <v>316</v>
      </c>
      <c r="C21" s="2">
        <f t="shared" si="0"/>
        <v>0</v>
      </c>
      <c r="D21" s="2" t="s">
        <v>320</v>
      </c>
      <c r="E21" s="2">
        <f t="shared" si="1"/>
        <v>1</v>
      </c>
      <c r="F21" s="17" t="s">
        <v>315</v>
      </c>
      <c r="G21" s="2">
        <f t="shared" si="2"/>
        <v>1</v>
      </c>
      <c r="H21" s="2">
        <f t="shared" si="3"/>
        <v>0</v>
      </c>
    </row>
    <row r="22" spans="1:8" x14ac:dyDescent="0.3">
      <c r="A22" s="2" t="s">
        <v>867</v>
      </c>
      <c r="B22" s="17" t="s">
        <v>316</v>
      </c>
      <c r="C22" s="2">
        <f t="shared" si="0"/>
        <v>0</v>
      </c>
      <c r="D22" s="2" t="s">
        <v>319</v>
      </c>
      <c r="E22" s="2">
        <f t="shared" si="1"/>
        <v>4</v>
      </c>
      <c r="F22" s="17" t="s">
        <v>315</v>
      </c>
      <c r="G22" s="2">
        <f t="shared" si="2"/>
        <v>1</v>
      </c>
      <c r="H22" s="2">
        <f t="shared" si="3"/>
        <v>0</v>
      </c>
    </row>
    <row r="23" spans="1:8" x14ac:dyDescent="0.3">
      <c r="A23" s="2" t="s">
        <v>904</v>
      </c>
      <c r="B23" s="17" t="s">
        <v>316</v>
      </c>
      <c r="C23" s="2">
        <f t="shared" si="0"/>
        <v>0</v>
      </c>
      <c r="D23" s="2" t="s">
        <v>317</v>
      </c>
      <c r="E23" s="2">
        <f t="shared" si="1"/>
        <v>2</v>
      </c>
      <c r="F23" s="17" t="s">
        <v>316</v>
      </c>
      <c r="G23" s="2">
        <f t="shared" si="2"/>
        <v>0</v>
      </c>
      <c r="H23" s="2">
        <f t="shared" si="3"/>
        <v>0</v>
      </c>
    </row>
    <row r="24" spans="1:8" x14ac:dyDescent="0.3">
      <c r="A24" s="2" t="s">
        <v>884</v>
      </c>
      <c r="B24" s="17" t="s">
        <v>316</v>
      </c>
      <c r="C24" s="2">
        <f t="shared" si="0"/>
        <v>0</v>
      </c>
      <c r="D24" s="2" t="s">
        <v>319</v>
      </c>
      <c r="E24" s="2">
        <f t="shared" si="1"/>
        <v>4</v>
      </c>
      <c r="F24" s="17" t="s">
        <v>316</v>
      </c>
      <c r="G24" s="2">
        <f t="shared" si="2"/>
        <v>0</v>
      </c>
      <c r="H24" s="2">
        <f t="shared" si="3"/>
        <v>0</v>
      </c>
    </row>
    <row r="25" spans="1:8" x14ac:dyDescent="0.3">
      <c r="A25" s="2" t="s">
        <v>697</v>
      </c>
      <c r="B25" s="17" t="s">
        <v>316</v>
      </c>
      <c r="C25" s="2">
        <f t="shared" si="0"/>
        <v>0</v>
      </c>
      <c r="D25" s="2" t="s">
        <v>318</v>
      </c>
      <c r="E25" s="2">
        <f t="shared" si="1"/>
        <v>3</v>
      </c>
      <c r="F25" s="17" t="s">
        <v>316</v>
      </c>
      <c r="G25" s="2">
        <f t="shared" si="2"/>
        <v>0</v>
      </c>
      <c r="H25" s="2">
        <f t="shared" si="3"/>
        <v>0</v>
      </c>
    </row>
    <row r="26" spans="1:8" x14ac:dyDescent="0.3">
      <c r="A26" s="2" t="s">
        <v>787</v>
      </c>
      <c r="B26" s="17" t="s">
        <v>316</v>
      </c>
      <c r="C26" s="2">
        <f t="shared" si="0"/>
        <v>0</v>
      </c>
      <c r="D26" s="2" t="s">
        <v>319</v>
      </c>
      <c r="E26" s="2">
        <f t="shared" si="1"/>
        <v>4</v>
      </c>
      <c r="F26" s="17" t="s">
        <v>316</v>
      </c>
      <c r="G26" s="2">
        <f t="shared" si="2"/>
        <v>0</v>
      </c>
      <c r="H26" s="2">
        <f t="shared" si="3"/>
        <v>0</v>
      </c>
    </row>
    <row r="27" spans="1:8" x14ac:dyDescent="0.3">
      <c r="A27" s="2" t="s">
        <v>875</v>
      </c>
      <c r="B27" s="17" t="s">
        <v>316</v>
      </c>
      <c r="C27" s="2">
        <f t="shared" si="0"/>
        <v>0</v>
      </c>
      <c r="D27" s="2" t="s">
        <v>317</v>
      </c>
      <c r="E27" s="2">
        <f t="shared" si="1"/>
        <v>2</v>
      </c>
      <c r="F27" s="17" t="s">
        <v>315</v>
      </c>
      <c r="G27" s="2">
        <f t="shared" si="2"/>
        <v>1</v>
      </c>
      <c r="H27" s="2">
        <f t="shared" si="3"/>
        <v>0</v>
      </c>
    </row>
    <row r="28" spans="1:8" x14ac:dyDescent="0.3">
      <c r="A28" s="2" t="s">
        <v>770</v>
      </c>
      <c r="B28" s="17" t="s">
        <v>316</v>
      </c>
      <c r="C28" s="2">
        <f t="shared" si="0"/>
        <v>0</v>
      </c>
      <c r="D28" s="2" t="s">
        <v>317</v>
      </c>
      <c r="E28" s="2">
        <f t="shared" si="1"/>
        <v>2</v>
      </c>
      <c r="F28" s="17" t="s">
        <v>316</v>
      </c>
      <c r="G28" s="2">
        <f t="shared" si="2"/>
        <v>0</v>
      </c>
      <c r="H28" s="2">
        <f t="shared" si="3"/>
        <v>0</v>
      </c>
    </row>
    <row r="29" spans="1:8" x14ac:dyDescent="0.3">
      <c r="A29" s="2" t="s">
        <v>161</v>
      </c>
      <c r="B29" s="17" t="s">
        <v>316</v>
      </c>
      <c r="C29" s="2">
        <f t="shared" si="0"/>
        <v>0</v>
      </c>
      <c r="D29" s="2" t="s">
        <v>319</v>
      </c>
      <c r="E29" s="2">
        <f t="shared" si="1"/>
        <v>4</v>
      </c>
      <c r="F29" s="17" t="s">
        <v>316</v>
      </c>
      <c r="G29" s="2">
        <f t="shared" si="2"/>
        <v>0</v>
      </c>
      <c r="H29" s="2">
        <f t="shared" si="3"/>
        <v>0</v>
      </c>
    </row>
    <row r="30" spans="1:8" x14ac:dyDescent="0.3">
      <c r="A30" s="2" t="s">
        <v>921</v>
      </c>
      <c r="B30" s="17" t="s">
        <v>316</v>
      </c>
      <c r="C30" s="2">
        <f t="shared" si="0"/>
        <v>0</v>
      </c>
      <c r="D30" s="2" t="s">
        <v>317</v>
      </c>
      <c r="E30" s="2">
        <f t="shared" si="1"/>
        <v>2</v>
      </c>
      <c r="F30" s="17" t="s">
        <v>315</v>
      </c>
      <c r="G30" s="2">
        <f t="shared" si="2"/>
        <v>1</v>
      </c>
      <c r="H30" s="2">
        <f t="shared" si="3"/>
        <v>0</v>
      </c>
    </row>
    <row r="31" spans="1:8" x14ac:dyDescent="0.3">
      <c r="A31" s="2" t="s">
        <v>928</v>
      </c>
      <c r="B31" s="17" t="s">
        <v>316</v>
      </c>
      <c r="C31" s="2">
        <f t="shared" si="0"/>
        <v>0</v>
      </c>
      <c r="D31" s="2" t="s">
        <v>317</v>
      </c>
      <c r="E31" s="2">
        <f t="shared" si="1"/>
        <v>2</v>
      </c>
      <c r="F31" s="17" t="s">
        <v>315</v>
      </c>
      <c r="G31" s="2">
        <f t="shared" si="2"/>
        <v>1</v>
      </c>
      <c r="H31" s="2">
        <f t="shared" si="3"/>
        <v>0</v>
      </c>
    </row>
    <row r="32" spans="1:8" x14ac:dyDescent="0.3">
      <c r="A32" s="2" t="s">
        <v>864</v>
      </c>
      <c r="B32" s="17" t="s">
        <v>316</v>
      </c>
      <c r="C32" s="2">
        <f t="shared" si="0"/>
        <v>0</v>
      </c>
      <c r="D32" s="2" t="s">
        <v>319</v>
      </c>
      <c r="E32" s="2">
        <f t="shared" si="1"/>
        <v>4</v>
      </c>
      <c r="F32" s="17" t="s">
        <v>315</v>
      </c>
      <c r="G32" s="2">
        <f t="shared" si="2"/>
        <v>1</v>
      </c>
      <c r="H32" s="2">
        <f t="shared" si="3"/>
        <v>0</v>
      </c>
    </row>
    <row r="33" spans="1:8" x14ac:dyDescent="0.3">
      <c r="A33" s="2" t="s">
        <v>721</v>
      </c>
      <c r="B33" s="17" t="s">
        <v>316</v>
      </c>
      <c r="C33" s="2">
        <f t="shared" si="0"/>
        <v>0</v>
      </c>
      <c r="D33" s="2" t="s">
        <v>320</v>
      </c>
      <c r="E33" s="2">
        <f t="shared" si="1"/>
        <v>1</v>
      </c>
      <c r="F33" s="17" t="s">
        <v>316</v>
      </c>
      <c r="G33" s="2">
        <f t="shared" si="2"/>
        <v>0</v>
      </c>
      <c r="H33" s="2">
        <f t="shared" si="3"/>
        <v>0</v>
      </c>
    </row>
    <row r="34" spans="1:8" x14ac:dyDescent="0.3">
      <c r="A34" s="2" t="s">
        <v>907</v>
      </c>
      <c r="B34" s="17" t="s">
        <v>316</v>
      </c>
      <c r="C34" s="2">
        <f t="shared" si="0"/>
        <v>0</v>
      </c>
      <c r="D34" s="2" t="s">
        <v>320</v>
      </c>
      <c r="E34" s="2">
        <f t="shared" si="1"/>
        <v>1</v>
      </c>
      <c r="F34" s="17" t="s">
        <v>316</v>
      </c>
      <c r="G34" s="2">
        <f t="shared" si="2"/>
        <v>0</v>
      </c>
      <c r="H34" s="2">
        <f t="shared" si="3"/>
        <v>0</v>
      </c>
    </row>
    <row r="35" spans="1:8" x14ac:dyDescent="0.3">
      <c r="A35" s="2" t="s">
        <v>758</v>
      </c>
      <c r="B35" s="17" t="s">
        <v>316</v>
      </c>
      <c r="C35" s="2">
        <f t="shared" si="0"/>
        <v>0</v>
      </c>
      <c r="D35" s="2" t="s">
        <v>317</v>
      </c>
      <c r="E35" s="2">
        <f t="shared" si="1"/>
        <v>2</v>
      </c>
      <c r="F35" s="17" t="s">
        <v>315</v>
      </c>
      <c r="G35" s="2">
        <f t="shared" si="2"/>
        <v>1</v>
      </c>
      <c r="H35" s="2">
        <f t="shared" si="3"/>
        <v>0</v>
      </c>
    </row>
    <row r="36" spans="1:8" x14ac:dyDescent="0.3">
      <c r="A36" s="2" t="s">
        <v>224</v>
      </c>
      <c r="B36" s="17" t="s">
        <v>316</v>
      </c>
      <c r="C36" s="2">
        <f t="shared" si="0"/>
        <v>0</v>
      </c>
      <c r="D36" s="2" t="s">
        <v>320</v>
      </c>
      <c r="E36" s="2">
        <f t="shared" si="1"/>
        <v>1</v>
      </c>
      <c r="F36" s="17" t="s">
        <v>316</v>
      </c>
      <c r="G36" s="2">
        <f t="shared" si="2"/>
        <v>0</v>
      </c>
      <c r="H36" s="2">
        <f t="shared" si="3"/>
        <v>0</v>
      </c>
    </row>
    <row r="37" spans="1:8" x14ac:dyDescent="0.3">
      <c r="A37" s="2" t="s">
        <v>806</v>
      </c>
      <c r="B37" s="17" t="s">
        <v>316</v>
      </c>
      <c r="C37" s="2">
        <f t="shared" si="0"/>
        <v>0</v>
      </c>
      <c r="D37" s="2" t="s">
        <v>318</v>
      </c>
      <c r="E37" s="2">
        <f t="shared" si="1"/>
        <v>3</v>
      </c>
      <c r="F37" s="17" t="s">
        <v>316</v>
      </c>
      <c r="G37" s="2">
        <f t="shared" si="2"/>
        <v>0</v>
      </c>
      <c r="H37" s="2">
        <f t="shared" si="3"/>
        <v>0</v>
      </c>
    </row>
    <row r="38" spans="1:8" x14ac:dyDescent="0.3">
      <c r="A38" s="2" t="s">
        <v>693</v>
      </c>
      <c r="B38" s="17" t="s">
        <v>316</v>
      </c>
      <c r="C38" s="2">
        <f t="shared" si="0"/>
        <v>0</v>
      </c>
      <c r="D38" s="2" t="s">
        <v>320</v>
      </c>
      <c r="E38" s="2">
        <f t="shared" si="1"/>
        <v>1</v>
      </c>
      <c r="F38" s="17" t="s">
        <v>315</v>
      </c>
      <c r="G38" s="2">
        <f t="shared" si="2"/>
        <v>1</v>
      </c>
      <c r="H38" s="2">
        <f t="shared" si="3"/>
        <v>0</v>
      </c>
    </row>
    <row r="39" spans="1:8" x14ac:dyDescent="0.3">
      <c r="A39" s="2" t="s">
        <v>827</v>
      </c>
      <c r="B39" s="17" t="s">
        <v>316</v>
      </c>
      <c r="C39" s="2">
        <f t="shared" si="0"/>
        <v>0</v>
      </c>
      <c r="D39" s="2" t="s">
        <v>317</v>
      </c>
      <c r="E39" s="2">
        <f t="shared" si="1"/>
        <v>2</v>
      </c>
      <c r="F39" s="17" t="s">
        <v>315</v>
      </c>
      <c r="G39" s="2">
        <f t="shared" si="2"/>
        <v>1</v>
      </c>
      <c r="H39" s="2">
        <f t="shared" si="3"/>
        <v>0</v>
      </c>
    </row>
    <row r="40" spans="1:8" x14ac:dyDescent="0.3">
      <c r="A40" s="2" t="s">
        <v>179</v>
      </c>
      <c r="B40" s="17" t="s">
        <v>316</v>
      </c>
      <c r="C40" s="2">
        <f t="shared" si="0"/>
        <v>0</v>
      </c>
      <c r="D40" s="2" t="s">
        <v>318</v>
      </c>
      <c r="E40" s="2">
        <f t="shared" si="1"/>
        <v>3</v>
      </c>
      <c r="F40" s="17" t="s">
        <v>316</v>
      </c>
      <c r="G40" s="2">
        <f t="shared" si="2"/>
        <v>0</v>
      </c>
      <c r="H40" s="2">
        <f t="shared" si="3"/>
        <v>0</v>
      </c>
    </row>
    <row r="41" spans="1:8" x14ac:dyDescent="0.3">
      <c r="A41" s="2" t="s">
        <v>1112</v>
      </c>
      <c r="B41" s="17" t="s">
        <v>316</v>
      </c>
      <c r="C41" s="2">
        <f t="shared" si="0"/>
        <v>0</v>
      </c>
      <c r="D41" s="2" t="s">
        <v>319</v>
      </c>
      <c r="E41" s="2">
        <f t="shared" si="1"/>
        <v>4</v>
      </c>
      <c r="F41" s="17" t="s">
        <v>315</v>
      </c>
      <c r="G41" s="2">
        <f t="shared" si="2"/>
        <v>1</v>
      </c>
      <c r="H41" s="2">
        <f t="shared" si="3"/>
        <v>0</v>
      </c>
    </row>
    <row r="42" spans="1:8" x14ac:dyDescent="0.3">
      <c r="A42" s="2" t="s">
        <v>910</v>
      </c>
      <c r="B42" s="17" t="s">
        <v>316</v>
      </c>
      <c r="C42" s="2">
        <f t="shared" si="0"/>
        <v>0</v>
      </c>
      <c r="D42" s="2" t="s">
        <v>317</v>
      </c>
      <c r="E42" s="2">
        <f t="shared" si="1"/>
        <v>2</v>
      </c>
      <c r="F42" s="17" t="s">
        <v>316</v>
      </c>
      <c r="G42" s="2">
        <f t="shared" si="2"/>
        <v>0</v>
      </c>
      <c r="H42" s="2">
        <f t="shared" si="3"/>
        <v>0</v>
      </c>
    </row>
    <row r="43" spans="1:8" x14ac:dyDescent="0.3">
      <c r="A43" s="2" t="s">
        <v>753</v>
      </c>
      <c r="B43" s="17" t="s">
        <v>316</v>
      </c>
      <c r="C43" s="2">
        <f t="shared" si="0"/>
        <v>0</v>
      </c>
      <c r="D43" s="2" t="s">
        <v>318</v>
      </c>
      <c r="E43" s="2">
        <f t="shared" si="1"/>
        <v>3</v>
      </c>
      <c r="F43" s="17" t="s">
        <v>316</v>
      </c>
      <c r="G43" s="2">
        <f t="shared" si="2"/>
        <v>0</v>
      </c>
      <c r="H43" s="2">
        <f t="shared" si="3"/>
        <v>0</v>
      </c>
    </row>
    <row r="44" spans="1:8" x14ac:dyDescent="0.3">
      <c r="A44" s="2" t="s">
        <v>687</v>
      </c>
      <c r="B44" s="17" t="s">
        <v>316</v>
      </c>
      <c r="C44" s="2">
        <f t="shared" si="0"/>
        <v>0</v>
      </c>
      <c r="D44" s="2" t="s">
        <v>318</v>
      </c>
      <c r="E44" s="2">
        <f t="shared" si="1"/>
        <v>3</v>
      </c>
      <c r="F44" s="17" t="s">
        <v>316</v>
      </c>
      <c r="G44" s="2">
        <f t="shared" si="2"/>
        <v>0</v>
      </c>
      <c r="H44" s="2">
        <f t="shared" si="3"/>
        <v>0</v>
      </c>
    </row>
    <row r="45" spans="1:8" x14ac:dyDescent="0.3">
      <c r="A45" s="2" t="s">
        <v>802</v>
      </c>
      <c r="B45" s="17" t="s">
        <v>316</v>
      </c>
      <c r="C45" s="2">
        <f t="shared" si="0"/>
        <v>0</v>
      </c>
      <c r="D45" s="2" t="s">
        <v>320</v>
      </c>
      <c r="E45" s="2">
        <f t="shared" si="1"/>
        <v>1</v>
      </c>
      <c r="F45" s="17" t="s">
        <v>316</v>
      </c>
      <c r="G45" s="2">
        <f t="shared" si="2"/>
        <v>0</v>
      </c>
      <c r="H45" s="2">
        <f t="shared" si="3"/>
        <v>0</v>
      </c>
    </row>
    <row r="46" spans="1:8" x14ac:dyDescent="0.3">
      <c r="A46" s="2" t="s">
        <v>688</v>
      </c>
      <c r="B46" s="17" t="s">
        <v>316</v>
      </c>
      <c r="C46" s="2">
        <f t="shared" si="0"/>
        <v>0</v>
      </c>
      <c r="D46" s="2" t="s">
        <v>320</v>
      </c>
      <c r="E46" s="2">
        <f t="shared" si="1"/>
        <v>1</v>
      </c>
      <c r="F46" s="17" t="s">
        <v>315</v>
      </c>
      <c r="G46" s="2">
        <f t="shared" si="2"/>
        <v>1</v>
      </c>
      <c r="H46" s="2">
        <f t="shared" si="3"/>
        <v>0</v>
      </c>
    </row>
    <row r="47" spans="1:8" x14ac:dyDescent="0.3">
      <c r="A47" s="2" t="s">
        <v>784</v>
      </c>
      <c r="B47" s="17" t="s">
        <v>316</v>
      </c>
      <c r="C47" s="2">
        <f t="shared" si="0"/>
        <v>0</v>
      </c>
      <c r="D47" s="2" t="s">
        <v>319</v>
      </c>
      <c r="E47" s="2">
        <f t="shared" si="1"/>
        <v>4</v>
      </c>
      <c r="F47" s="17" t="s">
        <v>316</v>
      </c>
      <c r="G47" s="2">
        <f t="shared" si="2"/>
        <v>0</v>
      </c>
      <c r="H47" s="2">
        <f t="shared" si="3"/>
        <v>0</v>
      </c>
    </row>
    <row r="48" spans="1:8" x14ac:dyDescent="0.3">
      <c r="A48" s="2" t="s">
        <v>814</v>
      </c>
      <c r="B48" s="17" t="s">
        <v>316</v>
      </c>
      <c r="C48" s="2">
        <f t="shared" si="0"/>
        <v>0</v>
      </c>
      <c r="D48" s="2" t="s">
        <v>320</v>
      </c>
      <c r="E48" s="2">
        <f t="shared" si="1"/>
        <v>1</v>
      </c>
      <c r="F48" s="17" t="s">
        <v>315</v>
      </c>
      <c r="G48" s="2">
        <f t="shared" si="2"/>
        <v>1</v>
      </c>
      <c r="H48" s="2">
        <f t="shared" si="3"/>
        <v>0</v>
      </c>
    </row>
    <row r="49" spans="1:8" x14ac:dyDescent="0.3">
      <c r="A49" s="2" t="s">
        <v>926</v>
      </c>
      <c r="B49" s="17" t="s">
        <v>316</v>
      </c>
      <c r="C49" s="2">
        <f t="shared" si="0"/>
        <v>0</v>
      </c>
      <c r="D49" s="2" t="s">
        <v>317</v>
      </c>
      <c r="E49" s="2">
        <f t="shared" si="1"/>
        <v>2</v>
      </c>
      <c r="F49" s="17" t="s">
        <v>316</v>
      </c>
      <c r="G49" s="2">
        <f t="shared" si="2"/>
        <v>0</v>
      </c>
      <c r="H49" s="2">
        <f t="shared" si="3"/>
        <v>0</v>
      </c>
    </row>
    <row r="50" spans="1:8" x14ac:dyDescent="0.3">
      <c r="A50" s="2" t="s">
        <v>133</v>
      </c>
      <c r="B50" s="17" t="s">
        <v>316</v>
      </c>
      <c r="C50" s="2">
        <f t="shared" si="0"/>
        <v>0</v>
      </c>
      <c r="D50" s="2" t="s">
        <v>318</v>
      </c>
      <c r="E50" s="2">
        <f t="shared" si="1"/>
        <v>3</v>
      </c>
      <c r="F50" s="17" t="s">
        <v>315</v>
      </c>
      <c r="G50" s="2">
        <f t="shared" si="2"/>
        <v>1</v>
      </c>
      <c r="H50" s="2">
        <f t="shared" si="3"/>
        <v>0</v>
      </c>
    </row>
    <row r="51" spans="1:8" x14ac:dyDescent="0.3">
      <c r="A51" s="2" t="s">
        <v>937</v>
      </c>
      <c r="B51" s="17" t="s">
        <v>316</v>
      </c>
      <c r="C51" s="2">
        <f t="shared" si="0"/>
        <v>0</v>
      </c>
      <c r="D51" s="2" t="s">
        <v>317</v>
      </c>
      <c r="E51" s="2">
        <f t="shared" si="1"/>
        <v>2</v>
      </c>
      <c r="F51" s="17" t="s">
        <v>316</v>
      </c>
      <c r="G51" s="2">
        <f t="shared" si="2"/>
        <v>0</v>
      </c>
      <c r="H51" s="2">
        <f t="shared" si="3"/>
        <v>0</v>
      </c>
    </row>
    <row r="52" spans="1:8" x14ac:dyDescent="0.3">
      <c r="A52" s="2" t="s">
        <v>151</v>
      </c>
      <c r="B52" s="17" t="s">
        <v>316</v>
      </c>
      <c r="C52" s="2">
        <f t="shared" si="0"/>
        <v>0</v>
      </c>
      <c r="D52" s="2" t="s">
        <v>317</v>
      </c>
      <c r="E52" s="2">
        <f t="shared" si="1"/>
        <v>2</v>
      </c>
      <c r="F52" s="17" t="s">
        <v>316</v>
      </c>
      <c r="G52" s="2">
        <f t="shared" si="2"/>
        <v>0</v>
      </c>
      <c r="H52" s="2">
        <f t="shared" si="3"/>
        <v>0</v>
      </c>
    </row>
    <row r="53" spans="1:8" x14ac:dyDescent="0.3">
      <c r="A53" s="2" t="s">
        <v>167</v>
      </c>
      <c r="B53" s="17" t="s">
        <v>316</v>
      </c>
      <c r="C53" s="2">
        <f t="shared" si="0"/>
        <v>0</v>
      </c>
      <c r="D53" s="2" t="s">
        <v>320</v>
      </c>
      <c r="E53" s="2">
        <f t="shared" si="1"/>
        <v>1</v>
      </c>
      <c r="F53" s="17" t="s">
        <v>316</v>
      </c>
      <c r="G53" s="2">
        <f t="shared" si="2"/>
        <v>0</v>
      </c>
      <c r="H53" s="2">
        <f t="shared" si="3"/>
        <v>0</v>
      </c>
    </row>
    <row r="54" spans="1:8" x14ac:dyDescent="0.3">
      <c r="A54" s="2" t="s">
        <v>722</v>
      </c>
      <c r="B54" s="17" t="s">
        <v>316</v>
      </c>
      <c r="C54" s="2">
        <f t="shared" si="0"/>
        <v>0</v>
      </c>
      <c r="D54" s="2" t="s">
        <v>319</v>
      </c>
      <c r="E54" s="2">
        <f t="shared" si="1"/>
        <v>4</v>
      </c>
      <c r="F54" s="17" t="s">
        <v>315</v>
      </c>
      <c r="G54" s="2">
        <f t="shared" si="2"/>
        <v>1</v>
      </c>
      <c r="H54" s="2">
        <f t="shared" si="3"/>
        <v>0</v>
      </c>
    </row>
    <row r="55" spans="1:8" x14ac:dyDescent="0.3">
      <c r="A55" s="2" t="s">
        <v>860</v>
      </c>
      <c r="B55" s="17" t="s">
        <v>316</v>
      </c>
      <c r="C55" s="2">
        <f t="shared" si="0"/>
        <v>0</v>
      </c>
      <c r="D55" s="2" t="s">
        <v>317</v>
      </c>
      <c r="E55" s="2">
        <f t="shared" si="1"/>
        <v>2</v>
      </c>
      <c r="F55" s="17" t="s">
        <v>315</v>
      </c>
      <c r="G55" s="2">
        <f t="shared" si="2"/>
        <v>1</v>
      </c>
      <c r="H55" s="2">
        <f t="shared" si="3"/>
        <v>0</v>
      </c>
    </row>
    <row r="56" spans="1:8" x14ac:dyDescent="0.3">
      <c r="A56" s="2" t="s">
        <v>869</v>
      </c>
      <c r="B56" s="17" t="s">
        <v>316</v>
      </c>
      <c r="C56" s="2">
        <f t="shared" si="0"/>
        <v>0</v>
      </c>
      <c r="D56" s="2" t="s">
        <v>318</v>
      </c>
      <c r="E56" s="2">
        <f t="shared" si="1"/>
        <v>3</v>
      </c>
      <c r="F56" s="17" t="s">
        <v>315</v>
      </c>
      <c r="G56" s="2">
        <f t="shared" si="2"/>
        <v>1</v>
      </c>
      <c r="H56" s="2">
        <f t="shared" si="3"/>
        <v>0</v>
      </c>
    </row>
    <row r="57" spans="1:8" x14ac:dyDescent="0.3">
      <c r="A57" s="2" t="s">
        <v>708</v>
      </c>
      <c r="B57" s="17" t="s">
        <v>316</v>
      </c>
      <c r="C57" s="2">
        <f t="shared" si="0"/>
        <v>0</v>
      </c>
      <c r="D57" s="2" t="s">
        <v>320</v>
      </c>
      <c r="E57" s="2">
        <f t="shared" si="1"/>
        <v>1</v>
      </c>
      <c r="F57" s="17" t="s">
        <v>316</v>
      </c>
      <c r="G57" s="2">
        <f t="shared" si="2"/>
        <v>0</v>
      </c>
      <c r="H57" s="2">
        <f t="shared" si="3"/>
        <v>0</v>
      </c>
    </row>
    <row r="58" spans="1:8" x14ac:dyDescent="0.3">
      <c r="A58" s="2" t="s">
        <v>849</v>
      </c>
      <c r="B58" s="17" t="s">
        <v>316</v>
      </c>
      <c r="C58" s="2">
        <f t="shared" si="0"/>
        <v>0</v>
      </c>
      <c r="D58" s="2" t="s">
        <v>318</v>
      </c>
      <c r="E58" s="2">
        <f t="shared" si="1"/>
        <v>3</v>
      </c>
      <c r="F58" s="17" t="s">
        <v>316</v>
      </c>
      <c r="G58" s="2">
        <f t="shared" si="2"/>
        <v>0</v>
      </c>
      <c r="H58" s="2">
        <f t="shared" si="3"/>
        <v>0</v>
      </c>
    </row>
    <row r="59" spans="1:8" x14ac:dyDescent="0.3">
      <c r="A59" s="2" t="s">
        <v>815</v>
      </c>
      <c r="B59" s="17" t="s">
        <v>316</v>
      </c>
      <c r="C59" s="2">
        <f t="shared" si="0"/>
        <v>0</v>
      </c>
      <c r="D59" s="2" t="s">
        <v>317</v>
      </c>
      <c r="E59" s="2">
        <f t="shared" si="1"/>
        <v>2</v>
      </c>
      <c r="F59" s="17" t="s">
        <v>315</v>
      </c>
      <c r="G59" s="2">
        <f t="shared" si="2"/>
        <v>1</v>
      </c>
      <c r="H59" s="2">
        <f t="shared" si="3"/>
        <v>0</v>
      </c>
    </row>
    <row r="60" spans="1:8" x14ac:dyDescent="0.3">
      <c r="A60" s="2" t="s">
        <v>825</v>
      </c>
      <c r="B60" s="17" t="s">
        <v>316</v>
      </c>
      <c r="C60" s="2">
        <f t="shared" si="0"/>
        <v>0</v>
      </c>
      <c r="D60" s="2" t="s">
        <v>320</v>
      </c>
      <c r="E60" s="2">
        <f t="shared" si="1"/>
        <v>1</v>
      </c>
      <c r="F60" s="17" t="s">
        <v>315</v>
      </c>
      <c r="G60" s="2">
        <f t="shared" si="2"/>
        <v>1</v>
      </c>
      <c r="H60" s="2">
        <f t="shared" si="3"/>
        <v>0</v>
      </c>
    </row>
    <row r="61" spans="1:8" x14ac:dyDescent="0.3">
      <c r="A61" s="2" t="s">
        <v>668</v>
      </c>
      <c r="B61" s="17" t="s">
        <v>316</v>
      </c>
      <c r="C61" s="2">
        <f t="shared" si="0"/>
        <v>0</v>
      </c>
      <c r="D61" s="2" t="s">
        <v>319</v>
      </c>
      <c r="E61" s="2">
        <f t="shared" si="1"/>
        <v>4</v>
      </c>
      <c r="F61" s="17" t="s">
        <v>315</v>
      </c>
      <c r="G61" s="2">
        <f t="shared" si="2"/>
        <v>1</v>
      </c>
      <c r="H61" s="2">
        <f t="shared" si="3"/>
        <v>0</v>
      </c>
    </row>
    <row r="62" spans="1:8" x14ac:dyDescent="0.3">
      <c r="A62" s="2" t="s">
        <v>847</v>
      </c>
      <c r="B62" s="17" t="s">
        <v>316</v>
      </c>
      <c r="C62" s="2">
        <f t="shared" si="0"/>
        <v>0</v>
      </c>
      <c r="D62" s="2" t="s">
        <v>319</v>
      </c>
      <c r="E62" s="2">
        <f t="shared" si="1"/>
        <v>4</v>
      </c>
      <c r="F62" s="17" t="s">
        <v>316</v>
      </c>
      <c r="G62" s="2">
        <f t="shared" si="2"/>
        <v>0</v>
      </c>
      <c r="H62" s="2">
        <f t="shared" si="3"/>
        <v>0</v>
      </c>
    </row>
    <row r="63" spans="1:8" x14ac:dyDescent="0.3">
      <c r="A63" s="2" t="s">
        <v>761</v>
      </c>
      <c r="B63" s="17" t="s">
        <v>316</v>
      </c>
      <c r="C63" s="2">
        <f t="shared" si="0"/>
        <v>0</v>
      </c>
      <c r="D63" s="2" t="s">
        <v>318</v>
      </c>
      <c r="E63" s="2">
        <f t="shared" si="1"/>
        <v>3</v>
      </c>
      <c r="F63" s="17" t="s">
        <v>315</v>
      </c>
      <c r="G63" s="2">
        <f t="shared" si="2"/>
        <v>1</v>
      </c>
      <c r="H63" s="2">
        <f t="shared" si="3"/>
        <v>0</v>
      </c>
    </row>
    <row r="64" spans="1:8" x14ac:dyDescent="0.3">
      <c r="A64" s="2" t="s">
        <v>898</v>
      </c>
      <c r="B64" s="17" t="s">
        <v>316</v>
      </c>
      <c r="C64" s="2">
        <f t="shared" si="0"/>
        <v>0</v>
      </c>
      <c r="D64" s="2" t="s">
        <v>318</v>
      </c>
      <c r="E64" s="2">
        <f t="shared" si="1"/>
        <v>3</v>
      </c>
      <c r="F64" s="17" t="s">
        <v>316</v>
      </c>
      <c r="G64" s="2">
        <f t="shared" si="2"/>
        <v>0</v>
      </c>
      <c r="H64" s="2">
        <f t="shared" si="3"/>
        <v>0</v>
      </c>
    </row>
    <row r="65" spans="1:8" x14ac:dyDescent="0.3">
      <c r="A65" s="2" t="s">
        <v>1108</v>
      </c>
      <c r="B65" s="17" t="s">
        <v>316</v>
      </c>
      <c r="C65" s="2">
        <f t="shared" si="0"/>
        <v>0</v>
      </c>
      <c r="D65" s="2" t="s">
        <v>317</v>
      </c>
      <c r="E65" s="2">
        <f t="shared" si="1"/>
        <v>2</v>
      </c>
      <c r="F65" s="17" t="s">
        <v>316</v>
      </c>
      <c r="G65" s="2">
        <f t="shared" si="2"/>
        <v>0</v>
      </c>
      <c r="H65" s="2">
        <f t="shared" si="3"/>
        <v>0</v>
      </c>
    </row>
    <row r="66" spans="1:8" x14ac:dyDescent="0.3">
      <c r="A66" s="2" t="s">
        <v>877</v>
      </c>
      <c r="B66" s="17" t="s">
        <v>316</v>
      </c>
      <c r="C66" s="2">
        <f t="shared" ref="C66:C129" si="4">IF(B66="Yes",1,0)</f>
        <v>0</v>
      </c>
      <c r="D66" s="2" t="s">
        <v>320</v>
      </c>
      <c r="E66" s="2">
        <f t="shared" ref="E66:E129" si="5">IF(D66="Needs Improvement",1,IF(D66="Meets Expectations",2,IF(D66="Exceeds Expectations",3,IF(D66="Outstanding",4,"Unknown"))))</f>
        <v>1</v>
      </c>
      <c r="F66" s="17" t="s">
        <v>315</v>
      </c>
      <c r="G66" s="2">
        <f t="shared" ref="G66:G129" si="6">IF(F66="Yes",1,0)</f>
        <v>1</v>
      </c>
      <c r="H66" s="2">
        <f t="shared" si="3"/>
        <v>0</v>
      </c>
    </row>
    <row r="67" spans="1:8" x14ac:dyDescent="0.3">
      <c r="A67" s="2" t="s">
        <v>707</v>
      </c>
      <c r="B67" s="17" t="s">
        <v>316</v>
      </c>
      <c r="C67" s="2">
        <f t="shared" si="4"/>
        <v>0</v>
      </c>
      <c r="D67" s="2" t="s">
        <v>320</v>
      </c>
      <c r="E67" s="2">
        <f t="shared" si="5"/>
        <v>1</v>
      </c>
      <c r="F67" s="17" t="s">
        <v>316</v>
      </c>
      <c r="G67" s="2">
        <f t="shared" si="6"/>
        <v>0</v>
      </c>
      <c r="H67" s="2">
        <f t="shared" ref="H67:H130" si="7">E67*C67</f>
        <v>0</v>
      </c>
    </row>
    <row r="68" spans="1:8" x14ac:dyDescent="0.3">
      <c r="A68" s="2" t="s">
        <v>206</v>
      </c>
      <c r="B68" s="17" t="s">
        <v>316</v>
      </c>
      <c r="C68" s="2">
        <f t="shared" si="4"/>
        <v>0</v>
      </c>
      <c r="D68" s="2" t="s">
        <v>318</v>
      </c>
      <c r="E68" s="2">
        <f t="shared" si="5"/>
        <v>3</v>
      </c>
      <c r="F68" s="17" t="s">
        <v>315</v>
      </c>
      <c r="G68" s="2">
        <f t="shared" si="6"/>
        <v>1</v>
      </c>
      <c r="H68" s="2">
        <f t="shared" si="7"/>
        <v>0</v>
      </c>
    </row>
    <row r="69" spans="1:8" x14ac:dyDescent="0.3">
      <c r="A69" s="2" t="s">
        <v>216</v>
      </c>
      <c r="B69" s="17" t="s">
        <v>316</v>
      </c>
      <c r="C69" s="2">
        <f t="shared" si="4"/>
        <v>0</v>
      </c>
      <c r="D69" s="2" t="s">
        <v>317</v>
      </c>
      <c r="E69" s="2">
        <f t="shared" si="5"/>
        <v>2</v>
      </c>
      <c r="F69" s="17" t="s">
        <v>315</v>
      </c>
      <c r="G69" s="2">
        <f t="shared" si="6"/>
        <v>1</v>
      </c>
      <c r="H69" s="2">
        <f t="shared" si="7"/>
        <v>0</v>
      </c>
    </row>
    <row r="70" spans="1:8" x14ac:dyDescent="0.3">
      <c r="A70" s="2" t="s">
        <v>135</v>
      </c>
      <c r="B70" s="17" t="s">
        <v>316</v>
      </c>
      <c r="C70" s="2">
        <f t="shared" si="4"/>
        <v>0</v>
      </c>
      <c r="D70" s="2" t="s">
        <v>319</v>
      </c>
      <c r="E70" s="2">
        <f t="shared" si="5"/>
        <v>4</v>
      </c>
      <c r="F70" s="17" t="s">
        <v>316</v>
      </c>
      <c r="G70" s="2">
        <f t="shared" si="6"/>
        <v>0</v>
      </c>
      <c r="H70" s="2">
        <f t="shared" si="7"/>
        <v>0</v>
      </c>
    </row>
    <row r="71" spans="1:8" x14ac:dyDescent="0.3">
      <c r="A71" s="2" t="s">
        <v>144</v>
      </c>
      <c r="B71" s="17" t="s">
        <v>316</v>
      </c>
      <c r="C71" s="2">
        <f t="shared" si="4"/>
        <v>0</v>
      </c>
      <c r="D71" s="2" t="s">
        <v>318</v>
      </c>
      <c r="E71" s="2">
        <f t="shared" si="5"/>
        <v>3</v>
      </c>
      <c r="F71" s="17" t="s">
        <v>316</v>
      </c>
      <c r="G71" s="2">
        <f t="shared" si="6"/>
        <v>0</v>
      </c>
      <c r="H71" s="2">
        <f t="shared" si="7"/>
        <v>0</v>
      </c>
    </row>
    <row r="72" spans="1:8" x14ac:dyDescent="0.3">
      <c r="A72" s="2" t="s">
        <v>889</v>
      </c>
      <c r="B72" s="17" t="s">
        <v>316</v>
      </c>
      <c r="C72" s="2">
        <f t="shared" si="4"/>
        <v>0</v>
      </c>
      <c r="D72" s="2" t="s">
        <v>320</v>
      </c>
      <c r="E72" s="2">
        <f t="shared" si="5"/>
        <v>1</v>
      </c>
      <c r="F72" s="17" t="s">
        <v>315</v>
      </c>
      <c r="G72" s="2">
        <f t="shared" si="6"/>
        <v>1</v>
      </c>
      <c r="H72" s="2">
        <f t="shared" si="7"/>
        <v>0</v>
      </c>
    </row>
    <row r="73" spans="1:8" x14ac:dyDescent="0.3">
      <c r="A73" s="2" t="s">
        <v>797</v>
      </c>
      <c r="B73" s="17" t="s">
        <v>316</v>
      </c>
      <c r="C73" s="2">
        <f t="shared" si="4"/>
        <v>0</v>
      </c>
      <c r="D73" s="2" t="s">
        <v>317</v>
      </c>
      <c r="E73" s="2">
        <f t="shared" si="5"/>
        <v>2</v>
      </c>
      <c r="F73" s="17" t="s">
        <v>316</v>
      </c>
      <c r="G73" s="2">
        <f t="shared" si="6"/>
        <v>0</v>
      </c>
      <c r="H73" s="2">
        <f t="shared" si="7"/>
        <v>0</v>
      </c>
    </row>
    <row r="74" spans="1:8" x14ac:dyDescent="0.3">
      <c r="A74" s="2" t="s">
        <v>689</v>
      </c>
      <c r="B74" s="17" t="s">
        <v>316</v>
      </c>
      <c r="C74" s="2">
        <f t="shared" si="4"/>
        <v>0</v>
      </c>
      <c r="D74" s="2" t="s">
        <v>320</v>
      </c>
      <c r="E74" s="2">
        <f t="shared" si="5"/>
        <v>1</v>
      </c>
      <c r="F74" s="17" t="s">
        <v>316</v>
      </c>
      <c r="G74" s="2">
        <f t="shared" si="6"/>
        <v>0</v>
      </c>
      <c r="H74" s="2">
        <f t="shared" si="7"/>
        <v>0</v>
      </c>
    </row>
    <row r="75" spans="1:8" x14ac:dyDescent="0.3">
      <c r="A75" s="2" t="s">
        <v>843</v>
      </c>
      <c r="B75" s="17" t="s">
        <v>316</v>
      </c>
      <c r="C75" s="2">
        <f t="shared" si="4"/>
        <v>0</v>
      </c>
      <c r="D75" s="2" t="s">
        <v>319</v>
      </c>
      <c r="E75" s="2">
        <f t="shared" si="5"/>
        <v>4</v>
      </c>
      <c r="F75" s="17" t="s">
        <v>315</v>
      </c>
      <c r="G75" s="2">
        <f t="shared" si="6"/>
        <v>1</v>
      </c>
      <c r="H75" s="2">
        <f t="shared" si="7"/>
        <v>0</v>
      </c>
    </row>
    <row r="76" spans="1:8" x14ac:dyDescent="0.3">
      <c r="A76" s="2" t="s">
        <v>775</v>
      </c>
      <c r="B76" s="17" t="s">
        <v>316</v>
      </c>
      <c r="C76" s="2">
        <f t="shared" si="4"/>
        <v>0</v>
      </c>
      <c r="D76" s="2" t="s">
        <v>319</v>
      </c>
      <c r="E76" s="2">
        <f t="shared" si="5"/>
        <v>4</v>
      </c>
      <c r="F76" s="17" t="s">
        <v>316</v>
      </c>
      <c r="G76" s="2">
        <f t="shared" si="6"/>
        <v>0</v>
      </c>
      <c r="H76" s="2">
        <f t="shared" si="7"/>
        <v>0</v>
      </c>
    </row>
    <row r="77" spans="1:8" x14ac:dyDescent="0.3">
      <c r="A77" s="2" t="s">
        <v>746</v>
      </c>
      <c r="B77" s="17" t="s">
        <v>316</v>
      </c>
      <c r="C77" s="2">
        <f t="shared" si="4"/>
        <v>0</v>
      </c>
      <c r="D77" s="2" t="s">
        <v>320</v>
      </c>
      <c r="E77" s="2">
        <f t="shared" si="5"/>
        <v>1</v>
      </c>
      <c r="F77" s="17" t="s">
        <v>315</v>
      </c>
      <c r="G77" s="2">
        <f t="shared" si="6"/>
        <v>1</v>
      </c>
      <c r="H77" s="2">
        <f t="shared" si="7"/>
        <v>0</v>
      </c>
    </row>
    <row r="78" spans="1:8" x14ac:dyDescent="0.3">
      <c r="A78" s="2" t="s">
        <v>698</v>
      </c>
      <c r="B78" s="17" t="s">
        <v>316</v>
      </c>
      <c r="C78" s="2">
        <f t="shared" si="4"/>
        <v>0</v>
      </c>
      <c r="D78" s="2" t="s">
        <v>318</v>
      </c>
      <c r="E78" s="2">
        <f t="shared" si="5"/>
        <v>3</v>
      </c>
      <c r="F78" s="17" t="s">
        <v>315</v>
      </c>
      <c r="G78" s="2">
        <f t="shared" si="6"/>
        <v>1</v>
      </c>
      <c r="H78" s="2">
        <f t="shared" si="7"/>
        <v>0</v>
      </c>
    </row>
    <row r="79" spans="1:8" x14ac:dyDescent="0.3">
      <c r="A79" s="2" t="s">
        <v>706</v>
      </c>
      <c r="B79" s="17" t="s">
        <v>316</v>
      </c>
      <c r="C79" s="2">
        <f t="shared" si="4"/>
        <v>0</v>
      </c>
      <c r="D79" s="2" t="s">
        <v>318</v>
      </c>
      <c r="E79" s="2">
        <f t="shared" si="5"/>
        <v>3</v>
      </c>
      <c r="F79" s="17" t="s">
        <v>315</v>
      </c>
      <c r="G79" s="2">
        <f t="shared" si="6"/>
        <v>1</v>
      </c>
      <c r="H79" s="2">
        <f t="shared" si="7"/>
        <v>0</v>
      </c>
    </row>
    <row r="80" spans="1:8" x14ac:dyDescent="0.3">
      <c r="A80" s="2" t="s">
        <v>700</v>
      </c>
      <c r="B80" s="17" t="s">
        <v>316</v>
      </c>
      <c r="C80" s="2">
        <f t="shared" si="4"/>
        <v>0</v>
      </c>
      <c r="D80" s="2" t="s">
        <v>318</v>
      </c>
      <c r="E80" s="2">
        <f t="shared" si="5"/>
        <v>3</v>
      </c>
      <c r="F80" s="17" t="s">
        <v>315</v>
      </c>
      <c r="G80" s="2">
        <f t="shared" si="6"/>
        <v>1</v>
      </c>
      <c r="H80" s="2">
        <f t="shared" si="7"/>
        <v>0</v>
      </c>
    </row>
    <row r="81" spans="1:8" x14ac:dyDescent="0.3">
      <c r="A81" s="2" t="s">
        <v>146</v>
      </c>
      <c r="B81" s="17" t="s">
        <v>316</v>
      </c>
      <c r="C81" s="2">
        <f t="shared" si="4"/>
        <v>0</v>
      </c>
      <c r="D81" s="2" t="s">
        <v>317</v>
      </c>
      <c r="E81" s="2">
        <f t="shared" si="5"/>
        <v>2</v>
      </c>
      <c r="F81" s="17" t="s">
        <v>315</v>
      </c>
      <c r="G81" s="2">
        <f t="shared" si="6"/>
        <v>1</v>
      </c>
      <c r="H81" s="2">
        <f t="shared" si="7"/>
        <v>0</v>
      </c>
    </row>
    <row r="82" spans="1:8" x14ac:dyDescent="0.3">
      <c r="A82" s="2" t="s">
        <v>771</v>
      </c>
      <c r="B82" s="17" t="s">
        <v>316</v>
      </c>
      <c r="C82" s="2">
        <f t="shared" si="4"/>
        <v>0</v>
      </c>
      <c r="D82" s="2" t="s">
        <v>319</v>
      </c>
      <c r="E82" s="2">
        <f t="shared" si="5"/>
        <v>4</v>
      </c>
      <c r="F82" s="17" t="s">
        <v>315</v>
      </c>
      <c r="G82" s="2">
        <f t="shared" si="6"/>
        <v>1</v>
      </c>
      <c r="H82" s="2">
        <f t="shared" si="7"/>
        <v>0</v>
      </c>
    </row>
    <row r="83" spans="1:8" x14ac:dyDescent="0.3">
      <c r="A83" s="2" t="s">
        <v>886</v>
      </c>
      <c r="B83" s="17" t="s">
        <v>316</v>
      </c>
      <c r="C83" s="2">
        <f t="shared" si="4"/>
        <v>0</v>
      </c>
      <c r="D83" s="2" t="s">
        <v>320</v>
      </c>
      <c r="E83" s="2">
        <f t="shared" si="5"/>
        <v>1</v>
      </c>
      <c r="F83" s="17" t="s">
        <v>316</v>
      </c>
      <c r="G83" s="2">
        <f t="shared" si="6"/>
        <v>0</v>
      </c>
      <c r="H83" s="2">
        <f t="shared" si="7"/>
        <v>0</v>
      </c>
    </row>
    <row r="84" spans="1:8" x14ac:dyDescent="0.3">
      <c r="A84" s="2" t="s">
        <v>715</v>
      </c>
      <c r="B84" s="17" t="s">
        <v>316</v>
      </c>
      <c r="C84" s="2">
        <f t="shared" si="4"/>
        <v>0</v>
      </c>
      <c r="D84" s="2" t="s">
        <v>319</v>
      </c>
      <c r="E84" s="2">
        <f t="shared" si="5"/>
        <v>4</v>
      </c>
      <c r="F84" s="17" t="s">
        <v>316</v>
      </c>
      <c r="G84" s="2">
        <f t="shared" si="6"/>
        <v>0</v>
      </c>
      <c r="H84" s="2">
        <f t="shared" si="7"/>
        <v>0</v>
      </c>
    </row>
    <row r="85" spans="1:8" x14ac:dyDescent="0.3">
      <c r="A85" s="2" t="s">
        <v>210</v>
      </c>
      <c r="B85" s="17" t="s">
        <v>316</v>
      </c>
      <c r="C85" s="2">
        <f t="shared" si="4"/>
        <v>0</v>
      </c>
      <c r="D85" s="2" t="s">
        <v>318</v>
      </c>
      <c r="E85" s="2">
        <f t="shared" si="5"/>
        <v>3</v>
      </c>
      <c r="F85" s="17" t="s">
        <v>316</v>
      </c>
      <c r="G85" s="2">
        <f t="shared" si="6"/>
        <v>0</v>
      </c>
      <c r="H85" s="2">
        <f t="shared" si="7"/>
        <v>0</v>
      </c>
    </row>
    <row r="86" spans="1:8" x14ac:dyDescent="0.3">
      <c r="A86" s="2" t="s">
        <v>718</v>
      </c>
      <c r="B86" s="17" t="s">
        <v>316</v>
      </c>
      <c r="C86" s="2">
        <f t="shared" si="4"/>
        <v>0</v>
      </c>
      <c r="D86" s="2" t="s">
        <v>318</v>
      </c>
      <c r="E86" s="2">
        <f t="shared" si="5"/>
        <v>3</v>
      </c>
      <c r="F86" s="17" t="s">
        <v>315</v>
      </c>
      <c r="G86" s="2">
        <f t="shared" si="6"/>
        <v>1</v>
      </c>
      <c r="H86" s="2">
        <f t="shared" si="7"/>
        <v>0</v>
      </c>
    </row>
    <row r="87" spans="1:8" x14ac:dyDescent="0.3">
      <c r="A87" s="2" t="s">
        <v>691</v>
      </c>
      <c r="B87" s="17" t="s">
        <v>316</v>
      </c>
      <c r="C87" s="2">
        <f t="shared" si="4"/>
        <v>0</v>
      </c>
      <c r="D87" s="2" t="s">
        <v>317</v>
      </c>
      <c r="E87" s="2">
        <f t="shared" si="5"/>
        <v>2</v>
      </c>
      <c r="F87" s="17" t="s">
        <v>316</v>
      </c>
      <c r="G87" s="2">
        <f t="shared" si="6"/>
        <v>0</v>
      </c>
      <c r="H87" s="2">
        <f t="shared" si="7"/>
        <v>0</v>
      </c>
    </row>
    <row r="88" spans="1:8" x14ac:dyDescent="0.3">
      <c r="A88" s="2" t="s">
        <v>170</v>
      </c>
      <c r="B88" s="17" t="s">
        <v>316</v>
      </c>
      <c r="C88" s="2">
        <f t="shared" si="4"/>
        <v>0</v>
      </c>
      <c r="D88" s="2" t="s">
        <v>320</v>
      </c>
      <c r="E88" s="2">
        <f t="shared" si="5"/>
        <v>1</v>
      </c>
      <c r="F88" s="17" t="s">
        <v>315</v>
      </c>
      <c r="G88" s="2">
        <f t="shared" si="6"/>
        <v>1</v>
      </c>
      <c r="H88" s="2">
        <f t="shared" si="7"/>
        <v>0</v>
      </c>
    </row>
    <row r="89" spans="1:8" x14ac:dyDescent="0.3">
      <c r="A89" s="2" t="s">
        <v>841</v>
      </c>
      <c r="B89" s="17" t="s">
        <v>316</v>
      </c>
      <c r="C89" s="2">
        <f t="shared" si="4"/>
        <v>0</v>
      </c>
      <c r="D89" s="2" t="s">
        <v>320</v>
      </c>
      <c r="E89" s="2">
        <f t="shared" si="5"/>
        <v>1</v>
      </c>
      <c r="F89" s="17" t="s">
        <v>316</v>
      </c>
      <c r="G89" s="2">
        <f t="shared" si="6"/>
        <v>0</v>
      </c>
      <c r="H89" s="2">
        <f t="shared" si="7"/>
        <v>0</v>
      </c>
    </row>
    <row r="90" spans="1:8" x14ac:dyDescent="0.3">
      <c r="A90" s="2" t="s">
        <v>785</v>
      </c>
      <c r="B90" s="17" t="s">
        <v>316</v>
      </c>
      <c r="C90" s="2">
        <f t="shared" si="4"/>
        <v>0</v>
      </c>
      <c r="D90" s="2" t="s">
        <v>317</v>
      </c>
      <c r="E90" s="2">
        <f t="shared" si="5"/>
        <v>2</v>
      </c>
      <c r="F90" s="17" t="s">
        <v>315</v>
      </c>
      <c r="G90" s="2">
        <f t="shared" si="6"/>
        <v>1</v>
      </c>
      <c r="H90" s="2">
        <f t="shared" si="7"/>
        <v>0</v>
      </c>
    </row>
    <row r="91" spans="1:8" x14ac:dyDescent="0.3">
      <c r="A91" s="2" t="s">
        <v>948</v>
      </c>
      <c r="B91" s="17" t="s">
        <v>316</v>
      </c>
      <c r="C91" s="2">
        <f t="shared" si="4"/>
        <v>0</v>
      </c>
      <c r="D91" s="2" t="s">
        <v>318</v>
      </c>
      <c r="E91" s="2">
        <f t="shared" si="5"/>
        <v>3</v>
      </c>
      <c r="F91" s="17" t="s">
        <v>315</v>
      </c>
      <c r="G91" s="2">
        <f t="shared" si="6"/>
        <v>1</v>
      </c>
      <c r="H91" s="2">
        <f t="shared" si="7"/>
        <v>0</v>
      </c>
    </row>
    <row r="92" spans="1:8" x14ac:dyDescent="0.3">
      <c r="A92" s="2" t="s">
        <v>859</v>
      </c>
      <c r="B92" s="17" t="s">
        <v>316</v>
      </c>
      <c r="C92" s="2">
        <f t="shared" si="4"/>
        <v>0</v>
      </c>
      <c r="D92" s="2" t="s">
        <v>318</v>
      </c>
      <c r="E92" s="2">
        <f t="shared" si="5"/>
        <v>3</v>
      </c>
      <c r="F92" s="17" t="s">
        <v>316</v>
      </c>
      <c r="G92" s="2">
        <f t="shared" si="6"/>
        <v>0</v>
      </c>
      <c r="H92" s="2">
        <f t="shared" si="7"/>
        <v>0</v>
      </c>
    </row>
    <row r="93" spans="1:8" x14ac:dyDescent="0.3">
      <c r="A93" s="2" t="s">
        <v>134</v>
      </c>
      <c r="B93" s="17" t="s">
        <v>316</v>
      </c>
      <c r="C93" s="2">
        <f t="shared" si="4"/>
        <v>0</v>
      </c>
      <c r="D93" s="2" t="s">
        <v>317</v>
      </c>
      <c r="E93" s="2">
        <f t="shared" si="5"/>
        <v>2</v>
      </c>
      <c r="F93" s="17" t="s">
        <v>315</v>
      </c>
      <c r="G93" s="2">
        <f t="shared" si="6"/>
        <v>1</v>
      </c>
      <c r="H93" s="2">
        <f t="shared" si="7"/>
        <v>0</v>
      </c>
    </row>
    <row r="94" spans="1:8" x14ac:dyDescent="0.3">
      <c r="A94" s="2" t="s">
        <v>890</v>
      </c>
      <c r="B94" s="17" t="s">
        <v>316</v>
      </c>
      <c r="C94" s="2">
        <f t="shared" si="4"/>
        <v>0</v>
      </c>
      <c r="D94" s="2" t="s">
        <v>319</v>
      </c>
      <c r="E94" s="2">
        <f t="shared" si="5"/>
        <v>4</v>
      </c>
      <c r="F94" s="17" t="s">
        <v>315</v>
      </c>
      <c r="G94" s="2">
        <f t="shared" si="6"/>
        <v>1</v>
      </c>
      <c r="H94" s="2">
        <f t="shared" si="7"/>
        <v>0</v>
      </c>
    </row>
    <row r="95" spans="1:8" x14ac:dyDescent="0.3">
      <c r="A95" s="2" t="s">
        <v>739</v>
      </c>
      <c r="B95" s="17" t="s">
        <v>316</v>
      </c>
      <c r="C95" s="2">
        <f t="shared" si="4"/>
        <v>0</v>
      </c>
      <c r="D95" s="2" t="s">
        <v>320</v>
      </c>
      <c r="E95" s="2">
        <f t="shared" si="5"/>
        <v>1</v>
      </c>
      <c r="F95" s="17" t="s">
        <v>316</v>
      </c>
      <c r="G95" s="2">
        <f t="shared" si="6"/>
        <v>0</v>
      </c>
      <c r="H95" s="2">
        <f t="shared" si="7"/>
        <v>0</v>
      </c>
    </row>
    <row r="96" spans="1:8" x14ac:dyDescent="0.3">
      <c r="A96" s="2" t="s">
        <v>789</v>
      </c>
      <c r="B96" s="17" t="s">
        <v>316</v>
      </c>
      <c r="C96" s="2">
        <f t="shared" si="4"/>
        <v>0</v>
      </c>
      <c r="D96" s="2" t="s">
        <v>320</v>
      </c>
      <c r="E96" s="2">
        <f t="shared" si="5"/>
        <v>1</v>
      </c>
      <c r="F96" s="17" t="s">
        <v>316</v>
      </c>
      <c r="G96" s="2">
        <f t="shared" si="6"/>
        <v>0</v>
      </c>
      <c r="H96" s="2">
        <f t="shared" si="7"/>
        <v>0</v>
      </c>
    </row>
    <row r="97" spans="1:8" x14ac:dyDescent="0.3">
      <c r="A97" s="2" t="s">
        <v>906</v>
      </c>
      <c r="B97" s="17" t="s">
        <v>316</v>
      </c>
      <c r="C97" s="2">
        <f t="shared" si="4"/>
        <v>0</v>
      </c>
      <c r="D97" s="2" t="s">
        <v>317</v>
      </c>
      <c r="E97" s="2">
        <f t="shared" si="5"/>
        <v>2</v>
      </c>
      <c r="F97" s="17" t="s">
        <v>316</v>
      </c>
      <c r="G97" s="2">
        <f t="shared" si="6"/>
        <v>0</v>
      </c>
      <c r="H97" s="2">
        <f t="shared" si="7"/>
        <v>0</v>
      </c>
    </row>
    <row r="98" spans="1:8" x14ac:dyDescent="0.3">
      <c r="A98" s="2" t="s">
        <v>183</v>
      </c>
      <c r="B98" s="17" t="s">
        <v>316</v>
      </c>
      <c r="C98" s="2">
        <f t="shared" si="4"/>
        <v>0</v>
      </c>
      <c r="D98" s="2" t="s">
        <v>319</v>
      </c>
      <c r="E98" s="2">
        <f t="shared" si="5"/>
        <v>4</v>
      </c>
      <c r="F98" s="17" t="s">
        <v>315</v>
      </c>
      <c r="G98" s="2">
        <f t="shared" si="6"/>
        <v>1</v>
      </c>
      <c r="H98" s="2">
        <f t="shared" si="7"/>
        <v>0</v>
      </c>
    </row>
    <row r="99" spans="1:8" x14ac:dyDescent="0.3">
      <c r="A99" s="2" t="s">
        <v>854</v>
      </c>
      <c r="B99" s="17" t="s">
        <v>316</v>
      </c>
      <c r="C99" s="2">
        <f t="shared" si="4"/>
        <v>0</v>
      </c>
      <c r="D99" s="2" t="s">
        <v>320</v>
      </c>
      <c r="E99" s="2">
        <f t="shared" si="5"/>
        <v>1</v>
      </c>
      <c r="F99" s="17" t="s">
        <v>315</v>
      </c>
      <c r="G99" s="2">
        <f t="shared" si="6"/>
        <v>1</v>
      </c>
      <c r="H99" s="2">
        <f t="shared" si="7"/>
        <v>0</v>
      </c>
    </row>
    <row r="100" spans="1:8" x14ac:dyDescent="0.3">
      <c r="A100" s="2" t="s">
        <v>897</v>
      </c>
      <c r="B100" s="17" t="s">
        <v>316</v>
      </c>
      <c r="C100" s="2">
        <f t="shared" si="4"/>
        <v>0</v>
      </c>
      <c r="D100" s="2" t="s">
        <v>320</v>
      </c>
      <c r="E100" s="2">
        <f t="shared" si="5"/>
        <v>1</v>
      </c>
      <c r="F100" s="17" t="s">
        <v>315</v>
      </c>
      <c r="G100" s="2">
        <f t="shared" si="6"/>
        <v>1</v>
      </c>
      <c r="H100" s="2">
        <f t="shared" si="7"/>
        <v>0</v>
      </c>
    </row>
    <row r="101" spans="1:8" x14ac:dyDescent="0.3">
      <c r="A101" s="2" t="s">
        <v>756</v>
      </c>
      <c r="B101" s="17" t="s">
        <v>316</v>
      </c>
      <c r="C101" s="2">
        <f t="shared" si="4"/>
        <v>0</v>
      </c>
      <c r="D101" s="2" t="s">
        <v>317</v>
      </c>
      <c r="E101" s="2">
        <f t="shared" si="5"/>
        <v>2</v>
      </c>
      <c r="F101" s="17" t="s">
        <v>316</v>
      </c>
      <c r="G101" s="2">
        <f t="shared" si="6"/>
        <v>0</v>
      </c>
      <c r="H101" s="2">
        <f t="shared" si="7"/>
        <v>0</v>
      </c>
    </row>
    <row r="102" spans="1:8" x14ac:dyDescent="0.3">
      <c r="A102" s="2" t="s">
        <v>204</v>
      </c>
      <c r="B102" s="17" t="s">
        <v>316</v>
      </c>
      <c r="C102" s="2">
        <f t="shared" si="4"/>
        <v>0</v>
      </c>
      <c r="D102" s="2" t="s">
        <v>320</v>
      </c>
      <c r="E102" s="2">
        <f t="shared" si="5"/>
        <v>1</v>
      </c>
      <c r="F102" s="17" t="s">
        <v>315</v>
      </c>
      <c r="G102" s="2">
        <f t="shared" si="6"/>
        <v>1</v>
      </c>
      <c r="H102" s="2">
        <f t="shared" si="7"/>
        <v>0</v>
      </c>
    </row>
    <row r="103" spans="1:8" x14ac:dyDescent="0.3">
      <c r="A103" s="2" t="s">
        <v>745</v>
      </c>
      <c r="B103" s="17" t="s">
        <v>316</v>
      </c>
      <c r="C103" s="2">
        <f t="shared" si="4"/>
        <v>0</v>
      </c>
      <c r="D103" s="2" t="s">
        <v>319</v>
      </c>
      <c r="E103" s="2">
        <f t="shared" si="5"/>
        <v>4</v>
      </c>
      <c r="F103" s="17" t="s">
        <v>316</v>
      </c>
      <c r="G103" s="2">
        <f t="shared" si="6"/>
        <v>0</v>
      </c>
      <c r="H103" s="2">
        <f t="shared" si="7"/>
        <v>0</v>
      </c>
    </row>
    <row r="104" spans="1:8" x14ac:dyDescent="0.3">
      <c r="A104" s="2" t="s">
        <v>719</v>
      </c>
      <c r="B104" s="17" t="s">
        <v>316</v>
      </c>
      <c r="C104" s="2">
        <f t="shared" si="4"/>
        <v>0</v>
      </c>
      <c r="D104" s="2" t="s">
        <v>318</v>
      </c>
      <c r="E104" s="2">
        <f t="shared" si="5"/>
        <v>3</v>
      </c>
      <c r="F104" s="17" t="s">
        <v>315</v>
      </c>
      <c r="G104" s="2">
        <f t="shared" si="6"/>
        <v>1</v>
      </c>
      <c r="H104" s="2">
        <f t="shared" si="7"/>
        <v>0</v>
      </c>
    </row>
    <row r="105" spans="1:8" x14ac:dyDescent="0.3">
      <c r="A105" s="2" t="s">
        <v>1110</v>
      </c>
      <c r="B105" s="17" t="s">
        <v>316</v>
      </c>
      <c r="C105" s="2">
        <f t="shared" si="4"/>
        <v>0</v>
      </c>
      <c r="D105" s="2" t="s">
        <v>318</v>
      </c>
      <c r="E105" s="2">
        <f t="shared" si="5"/>
        <v>3</v>
      </c>
      <c r="F105" s="17" t="s">
        <v>315</v>
      </c>
      <c r="G105" s="2">
        <f t="shared" si="6"/>
        <v>1</v>
      </c>
      <c r="H105" s="2">
        <f t="shared" si="7"/>
        <v>0</v>
      </c>
    </row>
    <row r="106" spans="1:8" x14ac:dyDescent="0.3">
      <c r="A106" s="2" t="s">
        <v>743</v>
      </c>
      <c r="B106" s="17" t="s">
        <v>316</v>
      </c>
      <c r="C106" s="2">
        <f t="shared" si="4"/>
        <v>0</v>
      </c>
      <c r="D106" s="2" t="s">
        <v>318</v>
      </c>
      <c r="E106" s="2">
        <f t="shared" si="5"/>
        <v>3</v>
      </c>
      <c r="F106" s="17" t="s">
        <v>315</v>
      </c>
      <c r="G106" s="2">
        <f t="shared" si="6"/>
        <v>1</v>
      </c>
      <c r="H106" s="2">
        <f t="shared" si="7"/>
        <v>0</v>
      </c>
    </row>
    <row r="107" spans="1:8" x14ac:dyDescent="0.3">
      <c r="A107" s="2" t="s">
        <v>672</v>
      </c>
      <c r="B107" s="17" t="s">
        <v>316</v>
      </c>
      <c r="C107" s="2">
        <f t="shared" si="4"/>
        <v>0</v>
      </c>
      <c r="D107" s="2" t="s">
        <v>318</v>
      </c>
      <c r="E107" s="2">
        <f t="shared" si="5"/>
        <v>3</v>
      </c>
      <c r="F107" s="17" t="s">
        <v>315</v>
      </c>
      <c r="G107" s="2">
        <f t="shared" si="6"/>
        <v>1</v>
      </c>
      <c r="H107" s="2">
        <f t="shared" si="7"/>
        <v>0</v>
      </c>
    </row>
    <row r="108" spans="1:8" x14ac:dyDescent="0.3">
      <c r="A108" s="2" t="s">
        <v>863</v>
      </c>
      <c r="B108" s="17" t="s">
        <v>316</v>
      </c>
      <c r="C108" s="2">
        <f t="shared" si="4"/>
        <v>0</v>
      </c>
      <c r="D108" s="2" t="s">
        <v>319</v>
      </c>
      <c r="E108" s="2">
        <f t="shared" si="5"/>
        <v>4</v>
      </c>
      <c r="F108" s="17" t="s">
        <v>316</v>
      </c>
      <c r="G108" s="2">
        <f t="shared" si="6"/>
        <v>0</v>
      </c>
      <c r="H108" s="2">
        <f t="shared" si="7"/>
        <v>0</v>
      </c>
    </row>
    <row r="109" spans="1:8" x14ac:dyDescent="0.3">
      <c r="A109" s="2" t="s">
        <v>175</v>
      </c>
      <c r="B109" s="17" t="s">
        <v>316</v>
      </c>
      <c r="C109" s="2">
        <f t="shared" si="4"/>
        <v>0</v>
      </c>
      <c r="D109" s="2" t="s">
        <v>319</v>
      </c>
      <c r="E109" s="2">
        <f t="shared" si="5"/>
        <v>4</v>
      </c>
      <c r="F109" s="17" t="s">
        <v>316</v>
      </c>
      <c r="G109" s="2">
        <f t="shared" si="6"/>
        <v>0</v>
      </c>
      <c r="H109" s="2">
        <f t="shared" si="7"/>
        <v>0</v>
      </c>
    </row>
    <row r="110" spans="1:8" x14ac:dyDescent="0.3">
      <c r="A110" s="2" t="s">
        <v>899</v>
      </c>
      <c r="B110" s="17" t="s">
        <v>316</v>
      </c>
      <c r="C110" s="2">
        <f t="shared" si="4"/>
        <v>0</v>
      </c>
      <c r="D110" s="2" t="s">
        <v>319</v>
      </c>
      <c r="E110" s="2">
        <f t="shared" si="5"/>
        <v>4</v>
      </c>
      <c r="F110" s="17" t="s">
        <v>315</v>
      </c>
      <c r="G110" s="2">
        <f t="shared" si="6"/>
        <v>1</v>
      </c>
      <c r="H110" s="2">
        <f t="shared" si="7"/>
        <v>0</v>
      </c>
    </row>
    <row r="111" spans="1:8" x14ac:dyDescent="0.3">
      <c r="A111" s="2" t="s">
        <v>131</v>
      </c>
      <c r="B111" s="17" t="s">
        <v>316</v>
      </c>
      <c r="C111" s="2">
        <f t="shared" si="4"/>
        <v>0</v>
      </c>
      <c r="D111" s="2" t="s">
        <v>320</v>
      </c>
      <c r="E111" s="2">
        <f t="shared" si="5"/>
        <v>1</v>
      </c>
      <c r="F111" s="17" t="s">
        <v>316</v>
      </c>
      <c r="G111" s="2">
        <f t="shared" si="6"/>
        <v>0</v>
      </c>
      <c r="H111" s="2">
        <f t="shared" si="7"/>
        <v>0</v>
      </c>
    </row>
    <row r="112" spans="1:8" x14ac:dyDescent="0.3">
      <c r="A112" s="2" t="s">
        <v>181</v>
      </c>
      <c r="B112" s="17" t="s">
        <v>316</v>
      </c>
      <c r="C112" s="2">
        <f t="shared" si="4"/>
        <v>0</v>
      </c>
      <c r="D112" s="2" t="s">
        <v>320</v>
      </c>
      <c r="E112" s="2">
        <f t="shared" si="5"/>
        <v>1</v>
      </c>
      <c r="F112" s="17" t="s">
        <v>315</v>
      </c>
      <c r="G112" s="2">
        <f t="shared" si="6"/>
        <v>1</v>
      </c>
      <c r="H112" s="2">
        <f t="shared" si="7"/>
        <v>0</v>
      </c>
    </row>
    <row r="113" spans="1:8" x14ac:dyDescent="0.3">
      <c r="A113" s="2" t="s">
        <v>829</v>
      </c>
      <c r="B113" s="17" t="s">
        <v>316</v>
      </c>
      <c r="C113" s="2">
        <f t="shared" si="4"/>
        <v>0</v>
      </c>
      <c r="D113" s="2" t="s">
        <v>317</v>
      </c>
      <c r="E113" s="2">
        <f t="shared" si="5"/>
        <v>2</v>
      </c>
      <c r="F113" s="17" t="s">
        <v>315</v>
      </c>
      <c r="G113" s="2">
        <f t="shared" si="6"/>
        <v>1</v>
      </c>
      <c r="H113" s="2">
        <f t="shared" si="7"/>
        <v>0</v>
      </c>
    </row>
    <row r="114" spans="1:8" x14ac:dyDescent="0.3">
      <c r="A114" s="2" t="s">
        <v>1106</v>
      </c>
      <c r="B114" s="17" t="s">
        <v>316</v>
      </c>
      <c r="C114" s="2">
        <f t="shared" si="4"/>
        <v>0</v>
      </c>
      <c r="D114" s="2" t="s">
        <v>320</v>
      </c>
      <c r="E114" s="2">
        <f t="shared" si="5"/>
        <v>1</v>
      </c>
      <c r="F114" s="17" t="s">
        <v>315</v>
      </c>
      <c r="G114" s="2">
        <f t="shared" si="6"/>
        <v>1</v>
      </c>
      <c r="H114" s="2">
        <f t="shared" si="7"/>
        <v>0</v>
      </c>
    </row>
    <row r="115" spans="1:8" x14ac:dyDescent="0.3">
      <c r="A115" s="2" t="s">
        <v>790</v>
      </c>
      <c r="B115" s="17" t="s">
        <v>316</v>
      </c>
      <c r="C115" s="2">
        <f t="shared" si="4"/>
        <v>0</v>
      </c>
      <c r="D115" s="2" t="s">
        <v>318</v>
      </c>
      <c r="E115" s="2">
        <f t="shared" si="5"/>
        <v>3</v>
      </c>
      <c r="F115" s="17" t="s">
        <v>316</v>
      </c>
      <c r="G115" s="2">
        <f t="shared" si="6"/>
        <v>0</v>
      </c>
      <c r="H115" s="2">
        <f t="shared" si="7"/>
        <v>0</v>
      </c>
    </row>
    <row r="116" spans="1:8" x14ac:dyDescent="0.3">
      <c r="A116" s="2" t="s">
        <v>193</v>
      </c>
      <c r="B116" s="17" t="s">
        <v>316</v>
      </c>
      <c r="C116" s="2">
        <f t="shared" si="4"/>
        <v>0</v>
      </c>
      <c r="D116" s="2" t="s">
        <v>318</v>
      </c>
      <c r="E116" s="2">
        <f t="shared" si="5"/>
        <v>3</v>
      </c>
      <c r="F116" s="17" t="s">
        <v>316</v>
      </c>
      <c r="G116" s="2">
        <f t="shared" si="6"/>
        <v>0</v>
      </c>
      <c r="H116" s="2">
        <f t="shared" si="7"/>
        <v>0</v>
      </c>
    </row>
    <row r="117" spans="1:8" x14ac:dyDescent="0.3">
      <c r="A117" s="2" t="s">
        <v>218</v>
      </c>
      <c r="B117" s="17" t="s">
        <v>316</v>
      </c>
      <c r="C117" s="2">
        <f t="shared" si="4"/>
        <v>0</v>
      </c>
      <c r="D117" s="2" t="s">
        <v>320</v>
      </c>
      <c r="E117" s="2">
        <f t="shared" si="5"/>
        <v>1</v>
      </c>
      <c r="F117" s="17" t="s">
        <v>315</v>
      </c>
      <c r="G117" s="2">
        <f t="shared" si="6"/>
        <v>1</v>
      </c>
      <c r="H117" s="2">
        <f t="shared" si="7"/>
        <v>0</v>
      </c>
    </row>
    <row r="118" spans="1:8" x14ac:dyDescent="0.3">
      <c r="A118" s="2" t="s">
        <v>189</v>
      </c>
      <c r="B118" s="17" t="s">
        <v>316</v>
      </c>
      <c r="C118" s="2">
        <f t="shared" si="4"/>
        <v>0</v>
      </c>
      <c r="D118" s="2" t="s">
        <v>320</v>
      </c>
      <c r="E118" s="2">
        <f t="shared" si="5"/>
        <v>1</v>
      </c>
      <c r="F118" s="17" t="s">
        <v>315</v>
      </c>
      <c r="G118" s="2">
        <f t="shared" si="6"/>
        <v>1</v>
      </c>
      <c r="H118" s="2">
        <f t="shared" si="7"/>
        <v>0</v>
      </c>
    </row>
    <row r="119" spans="1:8" x14ac:dyDescent="0.3">
      <c r="A119" s="2" t="s">
        <v>871</v>
      </c>
      <c r="B119" s="17" t="s">
        <v>316</v>
      </c>
      <c r="C119" s="2">
        <f t="shared" si="4"/>
        <v>0</v>
      </c>
      <c r="D119" s="2" t="s">
        <v>320</v>
      </c>
      <c r="E119" s="2">
        <f t="shared" si="5"/>
        <v>1</v>
      </c>
      <c r="F119" s="17" t="s">
        <v>316</v>
      </c>
      <c r="G119" s="2">
        <f t="shared" si="6"/>
        <v>0</v>
      </c>
      <c r="H119" s="2">
        <f t="shared" si="7"/>
        <v>0</v>
      </c>
    </row>
    <row r="120" spans="1:8" x14ac:dyDescent="0.3">
      <c r="A120" s="2" t="s">
        <v>143</v>
      </c>
      <c r="B120" s="17" t="s">
        <v>316</v>
      </c>
      <c r="C120" s="2">
        <f t="shared" si="4"/>
        <v>0</v>
      </c>
      <c r="D120" s="2" t="s">
        <v>317</v>
      </c>
      <c r="E120" s="2">
        <f t="shared" si="5"/>
        <v>2</v>
      </c>
      <c r="F120" s="17" t="s">
        <v>315</v>
      </c>
      <c r="G120" s="2">
        <f t="shared" si="6"/>
        <v>1</v>
      </c>
      <c r="H120" s="2">
        <f t="shared" si="7"/>
        <v>0</v>
      </c>
    </row>
    <row r="121" spans="1:8" x14ac:dyDescent="0.3">
      <c r="A121" s="2" t="s">
        <v>172</v>
      </c>
      <c r="B121" s="17" t="s">
        <v>316</v>
      </c>
      <c r="C121" s="2">
        <f t="shared" si="4"/>
        <v>0</v>
      </c>
      <c r="D121" s="2" t="s">
        <v>318</v>
      </c>
      <c r="E121" s="2">
        <f t="shared" si="5"/>
        <v>3</v>
      </c>
      <c r="F121" s="17" t="s">
        <v>316</v>
      </c>
      <c r="G121" s="2">
        <f t="shared" si="6"/>
        <v>0</v>
      </c>
      <c r="H121" s="2">
        <f t="shared" si="7"/>
        <v>0</v>
      </c>
    </row>
    <row r="122" spans="1:8" x14ac:dyDescent="0.3">
      <c r="A122" s="2" t="s">
        <v>730</v>
      </c>
      <c r="B122" s="17" t="s">
        <v>316</v>
      </c>
      <c r="C122" s="2">
        <f t="shared" si="4"/>
        <v>0</v>
      </c>
      <c r="D122" s="2" t="s">
        <v>318</v>
      </c>
      <c r="E122" s="2">
        <f t="shared" si="5"/>
        <v>3</v>
      </c>
      <c r="F122" s="17" t="s">
        <v>316</v>
      </c>
      <c r="G122" s="2">
        <f t="shared" si="6"/>
        <v>0</v>
      </c>
      <c r="H122" s="2">
        <f t="shared" si="7"/>
        <v>0</v>
      </c>
    </row>
    <row r="123" spans="1:8" x14ac:dyDescent="0.3">
      <c r="A123" s="2" t="s">
        <v>685</v>
      </c>
      <c r="B123" s="17" t="s">
        <v>316</v>
      </c>
      <c r="C123" s="2">
        <f t="shared" si="4"/>
        <v>0</v>
      </c>
      <c r="D123" s="2" t="s">
        <v>320</v>
      </c>
      <c r="E123" s="2">
        <f t="shared" si="5"/>
        <v>1</v>
      </c>
      <c r="F123" s="17" t="s">
        <v>315</v>
      </c>
      <c r="G123" s="2">
        <f t="shared" si="6"/>
        <v>1</v>
      </c>
      <c r="H123" s="2">
        <f t="shared" si="7"/>
        <v>0</v>
      </c>
    </row>
    <row r="124" spans="1:8" x14ac:dyDescent="0.3">
      <c r="A124" s="2" t="s">
        <v>908</v>
      </c>
      <c r="B124" s="17" t="s">
        <v>316</v>
      </c>
      <c r="C124" s="2">
        <f t="shared" si="4"/>
        <v>0</v>
      </c>
      <c r="D124" s="2" t="s">
        <v>318</v>
      </c>
      <c r="E124" s="2">
        <f t="shared" si="5"/>
        <v>3</v>
      </c>
      <c r="F124" s="17" t="s">
        <v>315</v>
      </c>
      <c r="G124" s="2">
        <f t="shared" si="6"/>
        <v>1</v>
      </c>
      <c r="H124" s="2">
        <f t="shared" si="7"/>
        <v>0</v>
      </c>
    </row>
    <row r="125" spans="1:8" x14ac:dyDescent="0.3">
      <c r="A125" s="2" t="s">
        <v>678</v>
      </c>
      <c r="B125" s="17" t="s">
        <v>316</v>
      </c>
      <c r="C125" s="2">
        <f t="shared" si="4"/>
        <v>0</v>
      </c>
      <c r="D125" s="2" t="s">
        <v>320</v>
      </c>
      <c r="E125" s="2">
        <f t="shared" si="5"/>
        <v>1</v>
      </c>
      <c r="F125" s="17" t="s">
        <v>315</v>
      </c>
      <c r="G125" s="2">
        <f t="shared" si="6"/>
        <v>1</v>
      </c>
      <c r="H125" s="2">
        <f t="shared" si="7"/>
        <v>0</v>
      </c>
    </row>
    <row r="126" spans="1:8" x14ac:dyDescent="0.3">
      <c r="A126" s="2" t="s">
        <v>947</v>
      </c>
      <c r="B126" s="17" t="s">
        <v>316</v>
      </c>
      <c r="C126" s="2">
        <f t="shared" si="4"/>
        <v>0</v>
      </c>
      <c r="D126" s="2" t="s">
        <v>318</v>
      </c>
      <c r="E126" s="2">
        <f t="shared" si="5"/>
        <v>3</v>
      </c>
      <c r="F126" s="17" t="s">
        <v>315</v>
      </c>
      <c r="G126" s="2">
        <f t="shared" si="6"/>
        <v>1</v>
      </c>
      <c r="H126" s="2">
        <f t="shared" si="7"/>
        <v>0</v>
      </c>
    </row>
    <row r="127" spans="1:8" x14ac:dyDescent="0.3">
      <c r="A127" s="2" t="s">
        <v>171</v>
      </c>
      <c r="B127" s="17" t="s">
        <v>316</v>
      </c>
      <c r="C127" s="2">
        <f t="shared" si="4"/>
        <v>0</v>
      </c>
      <c r="D127" s="2" t="s">
        <v>317</v>
      </c>
      <c r="E127" s="2">
        <f t="shared" si="5"/>
        <v>2</v>
      </c>
      <c r="F127" s="17" t="s">
        <v>316</v>
      </c>
      <c r="G127" s="2">
        <f t="shared" si="6"/>
        <v>0</v>
      </c>
      <c r="H127" s="2">
        <f t="shared" si="7"/>
        <v>0</v>
      </c>
    </row>
    <row r="128" spans="1:8" x14ac:dyDescent="0.3">
      <c r="A128" s="2" t="s">
        <v>153</v>
      </c>
      <c r="B128" s="17" t="s">
        <v>316</v>
      </c>
      <c r="C128" s="2">
        <f t="shared" si="4"/>
        <v>0</v>
      </c>
      <c r="D128" s="2" t="s">
        <v>319</v>
      </c>
      <c r="E128" s="2">
        <f t="shared" si="5"/>
        <v>4</v>
      </c>
      <c r="F128" s="17" t="s">
        <v>315</v>
      </c>
      <c r="G128" s="2">
        <f t="shared" si="6"/>
        <v>1</v>
      </c>
      <c r="H128" s="2">
        <f t="shared" si="7"/>
        <v>0</v>
      </c>
    </row>
    <row r="129" spans="1:8" x14ac:dyDescent="0.3">
      <c r="A129" s="2" t="s">
        <v>855</v>
      </c>
      <c r="B129" s="17" t="s">
        <v>316</v>
      </c>
      <c r="C129" s="2">
        <f t="shared" si="4"/>
        <v>0</v>
      </c>
      <c r="D129" s="2" t="s">
        <v>317</v>
      </c>
      <c r="E129" s="2">
        <f t="shared" si="5"/>
        <v>2</v>
      </c>
      <c r="F129" s="17" t="s">
        <v>315</v>
      </c>
      <c r="G129" s="2">
        <f t="shared" si="6"/>
        <v>1</v>
      </c>
      <c r="H129" s="2">
        <f t="shared" si="7"/>
        <v>0</v>
      </c>
    </row>
    <row r="130" spans="1:8" x14ac:dyDescent="0.3">
      <c r="A130" s="2" t="s">
        <v>679</v>
      </c>
      <c r="B130" s="17" t="s">
        <v>316</v>
      </c>
      <c r="C130" s="2">
        <f t="shared" ref="C130:C193" si="8">IF(B130="Yes",1,0)</f>
        <v>0</v>
      </c>
      <c r="D130" s="2" t="s">
        <v>320</v>
      </c>
      <c r="E130" s="2">
        <f t="shared" ref="E130:E193" si="9">IF(D130="Needs Improvement",1,IF(D130="Meets Expectations",2,IF(D130="Exceeds Expectations",3,IF(D130="Outstanding",4,"Unknown"))))</f>
        <v>1</v>
      </c>
      <c r="F130" s="17" t="s">
        <v>315</v>
      </c>
      <c r="G130" s="2">
        <f t="shared" ref="G130:G193" si="10">IF(F130="Yes",1,0)</f>
        <v>1</v>
      </c>
      <c r="H130" s="2">
        <f t="shared" si="7"/>
        <v>0</v>
      </c>
    </row>
    <row r="131" spans="1:8" x14ac:dyDescent="0.3">
      <c r="A131" s="2" t="s">
        <v>729</v>
      </c>
      <c r="B131" s="17" t="s">
        <v>316</v>
      </c>
      <c r="C131" s="2">
        <f t="shared" si="8"/>
        <v>0</v>
      </c>
      <c r="D131" s="2" t="s">
        <v>320</v>
      </c>
      <c r="E131" s="2">
        <f t="shared" si="9"/>
        <v>1</v>
      </c>
      <c r="F131" s="17" t="s">
        <v>315</v>
      </c>
      <c r="G131" s="2">
        <f t="shared" si="10"/>
        <v>1</v>
      </c>
      <c r="H131" s="2">
        <f t="shared" ref="H131:H194" si="11">E131*C131</f>
        <v>0</v>
      </c>
    </row>
    <row r="132" spans="1:8" x14ac:dyDescent="0.3">
      <c r="A132" s="2" t="s">
        <v>750</v>
      </c>
      <c r="B132" s="17" t="s">
        <v>316</v>
      </c>
      <c r="C132" s="2">
        <f t="shared" si="8"/>
        <v>0</v>
      </c>
      <c r="D132" s="2" t="s">
        <v>319</v>
      </c>
      <c r="E132" s="2">
        <f t="shared" si="9"/>
        <v>4</v>
      </c>
      <c r="F132" s="17" t="s">
        <v>316</v>
      </c>
      <c r="G132" s="2">
        <f t="shared" si="10"/>
        <v>0</v>
      </c>
      <c r="H132" s="2">
        <f t="shared" si="11"/>
        <v>0</v>
      </c>
    </row>
    <row r="133" spans="1:8" x14ac:dyDescent="0.3">
      <c r="A133" s="2" t="s">
        <v>769</v>
      </c>
      <c r="B133" s="17" t="s">
        <v>316</v>
      </c>
      <c r="C133" s="2">
        <f t="shared" si="8"/>
        <v>0</v>
      </c>
      <c r="D133" s="2" t="s">
        <v>317</v>
      </c>
      <c r="E133" s="2">
        <f t="shared" si="9"/>
        <v>2</v>
      </c>
      <c r="F133" s="17" t="s">
        <v>316</v>
      </c>
      <c r="G133" s="2">
        <f t="shared" si="10"/>
        <v>0</v>
      </c>
      <c r="H133" s="2">
        <f t="shared" si="11"/>
        <v>0</v>
      </c>
    </row>
    <row r="134" spans="1:8" x14ac:dyDescent="0.3">
      <c r="A134" s="2" t="s">
        <v>824</v>
      </c>
      <c r="B134" s="17" t="s">
        <v>316</v>
      </c>
      <c r="C134" s="2">
        <f t="shared" si="8"/>
        <v>0</v>
      </c>
      <c r="D134" s="2" t="s">
        <v>317</v>
      </c>
      <c r="E134" s="2">
        <f t="shared" si="9"/>
        <v>2</v>
      </c>
      <c r="F134" s="17" t="s">
        <v>316</v>
      </c>
      <c r="G134" s="2">
        <f t="shared" si="10"/>
        <v>0</v>
      </c>
      <c r="H134" s="2">
        <f t="shared" si="11"/>
        <v>0</v>
      </c>
    </row>
    <row r="135" spans="1:8" x14ac:dyDescent="0.3">
      <c r="A135" s="2" t="s">
        <v>812</v>
      </c>
      <c r="B135" s="17" t="s">
        <v>316</v>
      </c>
      <c r="C135" s="2">
        <f t="shared" si="8"/>
        <v>0</v>
      </c>
      <c r="D135" s="2" t="s">
        <v>318</v>
      </c>
      <c r="E135" s="2">
        <f t="shared" si="9"/>
        <v>3</v>
      </c>
      <c r="F135" s="17" t="s">
        <v>316</v>
      </c>
      <c r="G135" s="2">
        <f t="shared" si="10"/>
        <v>0</v>
      </c>
      <c r="H135" s="2">
        <f t="shared" si="11"/>
        <v>0</v>
      </c>
    </row>
    <row r="136" spans="1:8" x14ac:dyDescent="0.3">
      <c r="A136" s="2" t="s">
        <v>805</v>
      </c>
      <c r="B136" s="17" t="s">
        <v>316</v>
      </c>
      <c r="C136" s="2">
        <f t="shared" si="8"/>
        <v>0</v>
      </c>
      <c r="D136" s="2" t="s">
        <v>320</v>
      </c>
      <c r="E136" s="2">
        <f t="shared" si="9"/>
        <v>1</v>
      </c>
      <c r="F136" s="17" t="s">
        <v>315</v>
      </c>
      <c r="G136" s="2">
        <f t="shared" si="10"/>
        <v>1</v>
      </c>
      <c r="H136" s="2">
        <f t="shared" si="11"/>
        <v>0</v>
      </c>
    </row>
    <row r="137" spans="1:8" x14ac:dyDescent="0.3">
      <c r="A137" s="2" t="s">
        <v>852</v>
      </c>
      <c r="B137" s="17" t="s">
        <v>316</v>
      </c>
      <c r="C137" s="2">
        <f t="shared" si="8"/>
        <v>0</v>
      </c>
      <c r="D137" s="2" t="s">
        <v>317</v>
      </c>
      <c r="E137" s="2">
        <f t="shared" si="9"/>
        <v>2</v>
      </c>
      <c r="F137" s="17" t="s">
        <v>316</v>
      </c>
      <c r="G137" s="2">
        <f t="shared" si="10"/>
        <v>0</v>
      </c>
      <c r="H137" s="2">
        <f t="shared" si="11"/>
        <v>0</v>
      </c>
    </row>
    <row r="138" spans="1:8" x14ac:dyDescent="0.3">
      <c r="A138" s="2" t="s">
        <v>673</v>
      </c>
      <c r="B138" s="17" t="s">
        <v>316</v>
      </c>
      <c r="C138" s="2">
        <f t="shared" si="8"/>
        <v>0</v>
      </c>
      <c r="D138" s="2" t="s">
        <v>319</v>
      </c>
      <c r="E138" s="2">
        <f t="shared" si="9"/>
        <v>4</v>
      </c>
      <c r="F138" s="17" t="s">
        <v>316</v>
      </c>
      <c r="G138" s="2">
        <f t="shared" si="10"/>
        <v>0</v>
      </c>
      <c r="H138" s="2">
        <f t="shared" si="11"/>
        <v>0</v>
      </c>
    </row>
    <row r="139" spans="1:8" x14ac:dyDescent="0.3">
      <c r="A139" s="2" t="s">
        <v>774</v>
      </c>
      <c r="B139" s="17" t="s">
        <v>316</v>
      </c>
      <c r="C139" s="2">
        <f t="shared" si="8"/>
        <v>0</v>
      </c>
      <c r="D139" s="2" t="s">
        <v>318</v>
      </c>
      <c r="E139" s="2">
        <f t="shared" si="9"/>
        <v>3</v>
      </c>
      <c r="F139" s="17" t="s">
        <v>316</v>
      </c>
      <c r="G139" s="2">
        <f t="shared" si="10"/>
        <v>0</v>
      </c>
      <c r="H139" s="2">
        <f t="shared" si="11"/>
        <v>0</v>
      </c>
    </row>
    <row r="140" spans="1:8" x14ac:dyDescent="0.3">
      <c r="A140" s="2" t="s">
        <v>839</v>
      </c>
      <c r="B140" s="17" t="s">
        <v>316</v>
      </c>
      <c r="C140" s="2">
        <f t="shared" si="8"/>
        <v>0</v>
      </c>
      <c r="D140" s="2" t="s">
        <v>319</v>
      </c>
      <c r="E140" s="2">
        <f t="shared" si="9"/>
        <v>4</v>
      </c>
      <c r="F140" s="17" t="s">
        <v>315</v>
      </c>
      <c r="G140" s="2">
        <f t="shared" si="10"/>
        <v>1</v>
      </c>
      <c r="H140" s="2">
        <f t="shared" si="11"/>
        <v>0</v>
      </c>
    </row>
    <row r="141" spans="1:8" x14ac:dyDescent="0.3">
      <c r="A141" s="2" t="s">
        <v>833</v>
      </c>
      <c r="B141" s="17" t="s">
        <v>316</v>
      </c>
      <c r="C141" s="2">
        <f t="shared" si="8"/>
        <v>0</v>
      </c>
      <c r="D141" s="2" t="s">
        <v>317</v>
      </c>
      <c r="E141" s="2">
        <f t="shared" si="9"/>
        <v>2</v>
      </c>
      <c r="F141" s="17" t="s">
        <v>316</v>
      </c>
      <c r="G141" s="2">
        <f t="shared" si="10"/>
        <v>0</v>
      </c>
      <c r="H141" s="2">
        <f t="shared" si="11"/>
        <v>0</v>
      </c>
    </row>
    <row r="142" spans="1:8" x14ac:dyDescent="0.3">
      <c r="A142" s="2" t="s">
        <v>142</v>
      </c>
      <c r="B142" s="17" t="s">
        <v>316</v>
      </c>
      <c r="C142" s="2">
        <f t="shared" si="8"/>
        <v>0</v>
      </c>
      <c r="D142" s="2" t="s">
        <v>318</v>
      </c>
      <c r="E142" s="2">
        <f t="shared" si="9"/>
        <v>3</v>
      </c>
      <c r="F142" s="17" t="s">
        <v>316</v>
      </c>
      <c r="G142" s="2">
        <f t="shared" si="10"/>
        <v>0</v>
      </c>
      <c r="H142" s="2">
        <f t="shared" si="11"/>
        <v>0</v>
      </c>
    </row>
    <row r="143" spans="1:8" x14ac:dyDescent="0.3">
      <c r="A143" s="2" t="s">
        <v>751</v>
      </c>
      <c r="B143" s="17" t="s">
        <v>316</v>
      </c>
      <c r="C143" s="2">
        <f t="shared" si="8"/>
        <v>0</v>
      </c>
      <c r="D143" s="2" t="s">
        <v>319</v>
      </c>
      <c r="E143" s="2">
        <f t="shared" si="9"/>
        <v>4</v>
      </c>
      <c r="F143" s="17" t="s">
        <v>315</v>
      </c>
      <c r="G143" s="2">
        <f t="shared" si="10"/>
        <v>1</v>
      </c>
      <c r="H143" s="2">
        <f t="shared" si="11"/>
        <v>0</v>
      </c>
    </row>
    <row r="144" spans="1:8" x14ac:dyDescent="0.3">
      <c r="A144" s="2" t="s">
        <v>191</v>
      </c>
      <c r="B144" s="17" t="s">
        <v>316</v>
      </c>
      <c r="C144" s="2">
        <f t="shared" si="8"/>
        <v>0</v>
      </c>
      <c r="D144" s="2" t="s">
        <v>317</v>
      </c>
      <c r="E144" s="2">
        <f t="shared" si="9"/>
        <v>2</v>
      </c>
      <c r="F144" s="17" t="s">
        <v>315</v>
      </c>
      <c r="G144" s="2">
        <f t="shared" si="10"/>
        <v>1</v>
      </c>
      <c r="H144" s="2">
        <f t="shared" si="11"/>
        <v>0</v>
      </c>
    </row>
    <row r="145" spans="1:8" x14ac:dyDescent="0.3">
      <c r="A145" s="2" t="s">
        <v>211</v>
      </c>
      <c r="B145" s="17" t="s">
        <v>316</v>
      </c>
      <c r="C145" s="2">
        <f t="shared" si="8"/>
        <v>0</v>
      </c>
      <c r="D145" s="2" t="s">
        <v>318</v>
      </c>
      <c r="E145" s="2">
        <f t="shared" si="9"/>
        <v>3</v>
      </c>
      <c r="F145" s="17" t="s">
        <v>315</v>
      </c>
      <c r="G145" s="2">
        <f t="shared" si="10"/>
        <v>1</v>
      </c>
      <c r="H145" s="2">
        <f t="shared" si="11"/>
        <v>0</v>
      </c>
    </row>
    <row r="146" spans="1:8" x14ac:dyDescent="0.3">
      <c r="A146" s="2" t="s">
        <v>776</v>
      </c>
      <c r="B146" s="17" t="s">
        <v>316</v>
      </c>
      <c r="C146" s="2">
        <f t="shared" si="8"/>
        <v>0</v>
      </c>
      <c r="D146" s="2" t="s">
        <v>317</v>
      </c>
      <c r="E146" s="2">
        <f t="shared" si="9"/>
        <v>2</v>
      </c>
      <c r="F146" s="17" t="s">
        <v>316</v>
      </c>
      <c r="G146" s="2">
        <f t="shared" si="10"/>
        <v>0</v>
      </c>
      <c r="H146" s="2">
        <f t="shared" si="11"/>
        <v>0</v>
      </c>
    </row>
    <row r="147" spans="1:8" x14ac:dyDescent="0.3">
      <c r="A147" s="2" t="s">
        <v>845</v>
      </c>
      <c r="B147" s="17" t="s">
        <v>316</v>
      </c>
      <c r="C147" s="2">
        <f t="shared" si="8"/>
        <v>0</v>
      </c>
      <c r="D147" s="2" t="s">
        <v>318</v>
      </c>
      <c r="E147" s="2">
        <f t="shared" si="9"/>
        <v>3</v>
      </c>
      <c r="F147" s="17" t="s">
        <v>315</v>
      </c>
      <c r="G147" s="2">
        <f t="shared" si="10"/>
        <v>1</v>
      </c>
      <c r="H147" s="2">
        <f t="shared" si="11"/>
        <v>0</v>
      </c>
    </row>
    <row r="148" spans="1:8" x14ac:dyDescent="0.3">
      <c r="A148" s="2" t="s">
        <v>677</v>
      </c>
      <c r="B148" s="17" t="s">
        <v>316</v>
      </c>
      <c r="C148" s="2">
        <f t="shared" si="8"/>
        <v>0</v>
      </c>
      <c r="D148" s="2" t="s">
        <v>318</v>
      </c>
      <c r="E148" s="2">
        <f t="shared" si="9"/>
        <v>3</v>
      </c>
      <c r="F148" s="17" t="s">
        <v>315</v>
      </c>
      <c r="G148" s="2">
        <f t="shared" si="10"/>
        <v>1</v>
      </c>
      <c r="H148" s="2">
        <f t="shared" si="11"/>
        <v>0</v>
      </c>
    </row>
    <row r="149" spans="1:8" x14ac:dyDescent="0.3">
      <c r="A149" s="2" t="s">
        <v>800</v>
      </c>
      <c r="B149" s="17" t="s">
        <v>316</v>
      </c>
      <c r="C149" s="2">
        <f t="shared" si="8"/>
        <v>0</v>
      </c>
      <c r="D149" s="2" t="s">
        <v>318</v>
      </c>
      <c r="E149" s="2">
        <f t="shared" si="9"/>
        <v>3</v>
      </c>
      <c r="F149" s="17" t="s">
        <v>315</v>
      </c>
      <c r="G149" s="2">
        <f t="shared" si="10"/>
        <v>1</v>
      </c>
      <c r="H149" s="2">
        <f t="shared" si="11"/>
        <v>0</v>
      </c>
    </row>
    <row r="150" spans="1:8" x14ac:dyDescent="0.3">
      <c r="A150" s="2" t="s">
        <v>754</v>
      </c>
      <c r="B150" s="17" t="s">
        <v>316</v>
      </c>
      <c r="C150" s="2">
        <f t="shared" si="8"/>
        <v>0</v>
      </c>
      <c r="D150" s="2" t="s">
        <v>318</v>
      </c>
      <c r="E150" s="2">
        <f t="shared" si="9"/>
        <v>3</v>
      </c>
      <c r="F150" s="17" t="s">
        <v>315</v>
      </c>
      <c r="G150" s="2">
        <f t="shared" si="10"/>
        <v>1</v>
      </c>
      <c r="H150" s="2">
        <f t="shared" si="11"/>
        <v>0</v>
      </c>
    </row>
    <row r="151" spans="1:8" x14ac:dyDescent="0.3">
      <c r="A151" s="2" t="s">
        <v>892</v>
      </c>
      <c r="B151" s="17" t="s">
        <v>316</v>
      </c>
      <c r="C151" s="2">
        <f t="shared" si="8"/>
        <v>0</v>
      </c>
      <c r="D151" s="2" t="s">
        <v>317</v>
      </c>
      <c r="E151" s="2">
        <f t="shared" si="9"/>
        <v>2</v>
      </c>
      <c r="F151" s="17" t="s">
        <v>315</v>
      </c>
      <c r="G151" s="2">
        <f t="shared" si="10"/>
        <v>1</v>
      </c>
      <c r="H151" s="2">
        <f t="shared" si="11"/>
        <v>0</v>
      </c>
    </row>
    <row r="152" spans="1:8" x14ac:dyDescent="0.3">
      <c r="A152" s="2" t="s">
        <v>832</v>
      </c>
      <c r="B152" s="17" t="s">
        <v>316</v>
      </c>
      <c r="C152" s="2">
        <f t="shared" si="8"/>
        <v>0</v>
      </c>
      <c r="D152" s="2" t="s">
        <v>320</v>
      </c>
      <c r="E152" s="2">
        <f t="shared" si="9"/>
        <v>1</v>
      </c>
      <c r="F152" s="17" t="s">
        <v>316</v>
      </c>
      <c r="G152" s="2">
        <f t="shared" si="10"/>
        <v>0</v>
      </c>
      <c r="H152" s="2">
        <f t="shared" si="11"/>
        <v>0</v>
      </c>
    </row>
    <row r="153" spans="1:8" x14ac:dyDescent="0.3">
      <c r="A153" s="2" t="s">
        <v>810</v>
      </c>
      <c r="B153" s="17" t="s">
        <v>316</v>
      </c>
      <c r="C153" s="2">
        <f t="shared" si="8"/>
        <v>0</v>
      </c>
      <c r="D153" s="2" t="s">
        <v>320</v>
      </c>
      <c r="E153" s="2">
        <f t="shared" si="9"/>
        <v>1</v>
      </c>
      <c r="F153" s="17" t="s">
        <v>316</v>
      </c>
      <c r="G153" s="2">
        <f t="shared" si="10"/>
        <v>0</v>
      </c>
      <c r="H153" s="2">
        <f t="shared" si="11"/>
        <v>0</v>
      </c>
    </row>
    <row r="154" spans="1:8" x14ac:dyDescent="0.3">
      <c r="A154" s="2" t="s">
        <v>155</v>
      </c>
      <c r="B154" s="17" t="s">
        <v>316</v>
      </c>
      <c r="C154" s="2">
        <f t="shared" si="8"/>
        <v>0</v>
      </c>
      <c r="D154" s="2" t="s">
        <v>320</v>
      </c>
      <c r="E154" s="2">
        <f t="shared" si="9"/>
        <v>1</v>
      </c>
      <c r="F154" s="17" t="s">
        <v>316</v>
      </c>
      <c r="G154" s="2">
        <f t="shared" si="10"/>
        <v>0</v>
      </c>
      <c r="H154" s="2">
        <f t="shared" si="11"/>
        <v>0</v>
      </c>
    </row>
    <row r="155" spans="1:8" x14ac:dyDescent="0.3">
      <c r="A155" s="2" t="s">
        <v>826</v>
      </c>
      <c r="B155" s="17" t="s">
        <v>316</v>
      </c>
      <c r="C155" s="2">
        <f t="shared" si="8"/>
        <v>0</v>
      </c>
      <c r="D155" s="2" t="s">
        <v>320</v>
      </c>
      <c r="E155" s="2">
        <f t="shared" si="9"/>
        <v>1</v>
      </c>
      <c r="F155" s="17" t="s">
        <v>315</v>
      </c>
      <c r="G155" s="2">
        <f t="shared" si="10"/>
        <v>1</v>
      </c>
      <c r="H155" s="2">
        <f t="shared" si="11"/>
        <v>0</v>
      </c>
    </row>
    <row r="156" spans="1:8" x14ac:dyDescent="0.3">
      <c r="A156" s="2" t="s">
        <v>202</v>
      </c>
      <c r="B156" s="17" t="s">
        <v>316</v>
      </c>
      <c r="C156" s="2">
        <f t="shared" si="8"/>
        <v>0</v>
      </c>
      <c r="D156" s="2" t="s">
        <v>318</v>
      </c>
      <c r="E156" s="2">
        <f t="shared" si="9"/>
        <v>3</v>
      </c>
      <c r="F156" s="17" t="s">
        <v>316</v>
      </c>
      <c r="G156" s="2">
        <f t="shared" si="10"/>
        <v>0</v>
      </c>
      <c r="H156" s="2">
        <f t="shared" si="11"/>
        <v>0</v>
      </c>
    </row>
    <row r="157" spans="1:8" x14ac:dyDescent="0.3">
      <c r="A157" s="2" t="s">
        <v>168</v>
      </c>
      <c r="B157" s="17" t="s">
        <v>316</v>
      </c>
      <c r="C157" s="2">
        <f t="shared" si="8"/>
        <v>0</v>
      </c>
      <c r="D157" s="2" t="s">
        <v>320</v>
      </c>
      <c r="E157" s="2">
        <f t="shared" si="9"/>
        <v>1</v>
      </c>
      <c r="F157" s="17" t="s">
        <v>315</v>
      </c>
      <c r="G157" s="2">
        <f t="shared" si="10"/>
        <v>1</v>
      </c>
      <c r="H157" s="2">
        <f t="shared" si="11"/>
        <v>0</v>
      </c>
    </row>
    <row r="158" spans="1:8" x14ac:dyDescent="0.3">
      <c r="A158" s="2" t="s">
        <v>666</v>
      </c>
      <c r="B158" s="17" t="s">
        <v>316</v>
      </c>
      <c r="C158" s="2">
        <f t="shared" si="8"/>
        <v>0</v>
      </c>
      <c r="D158" s="2" t="s">
        <v>318</v>
      </c>
      <c r="E158" s="2">
        <f t="shared" si="9"/>
        <v>3</v>
      </c>
      <c r="F158" s="17" t="s">
        <v>316</v>
      </c>
      <c r="G158" s="2">
        <f t="shared" si="10"/>
        <v>0</v>
      </c>
      <c r="H158" s="2">
        <f t="shared" si="11"/>
        <v>0</v>
      </c>
    </row>
    <row r="159" spans="1:8" x14ac:dyDescent="0.3">
      <c r="A159" s="2" t="s">
        <v>141</v>
      </c>
      <c r="B159" s="17" t="s">
        <v>316</v>
      </c>
      <c r="C159" s="2">
        <f t="shared" si="8"/>
        <v>0</v>
      </c>
      <c r="D159" s="2" t="s">
        <v>320</v>
      </c>
      <c r="E159" s="2">
        <f t="shared" si="9"/>
        <v>1</v>
      </c>
      <c r="F159" s="17" t="s">
        <v>315</v>
      </c>
      <c r="G159" s="2">
        <f t="shared" si="10"/>
        <v>1</v>
      </c>
      <c r="H159" s="2">
        <f t="shared" si="11"/>
        <v>0</v>
      </c>
    </row>
    <row r="160" spans="1:8" x14ac:dyDescent="0.3">
      <c r="A160" s="2" t="s">
        <v>166</v>
      </c>
      <c r="B160" s="17" t="s">
        <v>316</v>
      </c>
      <c r="C160" s="2">
        <f t="shared" si="8"/>
        <v>0</v>
      </c>
      <c r="D160" s="2" t="s">
        <v>320</v>
      </c>
      <c r="E160" s="2">
        <f t="shared" si="9"/>
        <v>1</v>
      </c>
      <c r="F160" s="17" t="s">
        <v>316</v>
      </c>
      <c r="G160" s="2">
        <f t="shared" si="10"/>
        <v>0</v>
      </c>
      <c r="H160" s="2">
        <f t="shared" si="11"/>
        <v>0</v>
      </c>
    </row>
    <row r="161" spans="1:8" x14ac:dyDescent="0.3">
      <c r="A161" s="2" t="s">
        <v>835</v>
      </c>
      <c r="B161" s="17" t="s">
        <v>316</v>
      </c>
      <c r="C161" s="2">
        <f t="shared" si="8"/>
        <v>0</v>
      </c>
      <c r="D161" s="2" t="s">
        <v>317</v>
      </c>
      <c r="E161" s="2">
        <f t="shared" si="9"/>
        <v>2</v>
      </c>
      <c r="F161" s="17" t="s">
        <v>316</v>
      </c>
      <c r="G161" s="2">
        <f t="shared" si="10"/>
        <v>0</v>
      </c>
      <c r="H161" s="2">
        <f t="shared" si="11"/>
        <v>0</v>
      </c>
    </row>
    <row r="162" spans="1:8" x14ac:dyDescent="0.3">
      <c r="A162" s="2" t="s">
        <v>778</v>
      </c>
      <c r="B162" s="17" t="s">
        <v>316</v>
      </c>
      <c r="C162" s="2">
        <f t="shared" si="8"/>
        <v>0</v>
      </c>
      <c r="D162" s="2" t="s">
        <v>320</v>
      </c>
      <c r="E162" s="2">
        <f t="shared" si="9"/>
        <v>1</v>
      </c>
      <c r="F162" s="17" t="s">
        <v>315</v>
      </c>
      <c r="G162" s="2">
        <f t="shared" si="10"/>
        <v>1</v>
      </c>
      <c r="H162" s="2">
        <f t="shared" si="11"/>
        <v>0</v>
      </c>
    </row>
    <row r="163" spans="1:8" x14ac:dyDescent="0.3">
      <c r="A163" s="2" t="s">
        <v>669</v>
      </c>
      <c r="B163" s="17" t="s">
        <v>316</v>
      </c>
      <c r="C163" s="2">
        <f t="shared" si="8"/>
        <v>0</v>
      </c>
      <c r="D163" s="2" t="s">
        <v>319</v>
      </c>
      <c r="E163" s="2">
        <f t="shared" si="9"/>
        <v>4</v>
      </c>
      <c r="F163" s="17" t="s">
        <v>315</v>
      </c>
      <c r="G163" s="2">
        <f t="shared" si="10"/>
        <v>1</v>
      </c>
      <c r="H163" s="2">
        <f t="shared" si="11"/>
        <v>0</v>
      </c>
    </row>
    <row r="164" spans="1:8" x14ac:dyDescent="0.3">
      <c r="A164" s="2" t="s">
        <v>747</v>
      </c>
      <c r="B164" s="17" t="s">
        <v>316</v>
      </c>
      <c r="C164" s="2">
        <f t="shared" si="8"/>
        <v>0</v>
      </c>
      <c r="D164" s="2" t="s">
        <v>319</v>
      </c>
      <c r="E164" s="2">
        <f t="shared" si="9"/>
        <v>4</v>
      </c>
      <c r="F164" s="17" t="s">
        <v>316</v>
      </c>
      <c r="G164" s="2">
        <f t="shared" si="10"/>
        <v>0</v>
      </c>
      <c r="H164" s="2">
        <f t="shared" si="11"/>
        <v>0</v>
      </c>
    </row>
    <row r="165" spans="1:8" x14ac:dyDescent="0.3">
      <c r="A165" s="2" t="s">
        <v>759</v>
      </c>
      <c r="B165" s="17" t="s">
        <v>316</v>
      </c>
      <c r="C165" s="2">
        <f t="shared" si="8"/>
        <v>0</v>
      </c>
      <c r="D165" s="2" t="s">
        <v>319</v>
      </c>
      <c r="E165" s="2">
        <f t="shared" si="9"/>
        <v>4</v>
      </c>
      <c r="F165" s="17" t="s">
        <v>316</v>
      </c>
      <c r="G165" s="2">
        <f t="shared" si="10"/>
        <v>0</v>
      </c>
      <c r="H165" s="2">
        <f t="shared" si="11"/>
        <v>0</v>
      </c>
    </row>
    <row r="166" spans="1:8" x14ac:dyDescent="0.3">
      <c r="A166" s="2" t="s">
        <v>819</v>
      </c>
      <c r="B166" s="17" t="s">
        <v>316</v>
      </c>
      <c r="C166" s="2">
        <f t="shared" si="8"/>
        <v>0</v>
      </c>
      <c r="D166" s="2" t="s">
        <v>318</v>
      </c>
      <c r="E166" s="2">
        <f t="shared" si="9"/>
        <v>3</v>
      </c>
      <c r="F166" s="17" t="s">
        <v>315</v>
      </c>
      <c r="G166" s="2">
        <f t="shared" si="10"/>
        <v>1</v>
      </c>
      <c r="H166" s="2">
        <f t="shared" si="11"/>
        <v>0</v>
      </c>
    </row>
    <row r="167" spans="1:8" x14ac:dyDescent="0.3">
      <c r="A167" s="2" t="s">
        <v>779</v>
      </c>
      <c r="B167" s="17" t="s">
        <v>316</v>
      </c>
      <c r="C167" s="2">
        <f t="shared" si="8"/>
        <v>0</v>
      </c>
      <c r="D167" s="2" t="s">
        <v>320</v>
      </c>
      <c r="E167" s="2">
        <f t="shared" si="9"/>
        <v>1</v>
      </c>
      <c r="F167" s="17" t="s">
        <v>315</v>
      </c>
      <c r="G167" s="2">
        <f t="shared" si="10"/>
        <v>1</v>
      </c>
      <c r="H167" s="2">
        <f t="shared" si="11"/>
        <v>0</v>
      </c>
    </row>
    <row r="168" spans="1:8" x14ac:dyDescent="0.3">
      <c r="A168" s="2" t="s">
        <v>221</v>
      </c>
      <c r="B168" s="17" t="s">
        <v>316</v>
      </c>
      <c r="C168" s="2">
        <f t="shared" si="8"/>
        <v>0</v>
      </c>
      <c r="D168" s="2" t="s">
        <v>318</v>
      </c>
      <c r="E168" s="2">
        <f t="shared" si="9"/>
        <v>3</v>
      </c>
      <c r="F168" s="17" t="s">
        <v>315</v>
      </c>
      <c r="G168" s="2">
        <f t="shared" si="10"/>
        <v>1</v>
      </c>
      <c r="H168" s="2">
        <f t="shared" si="11"/>
        <v>0</v>
      </c>
    </row>
    <row r="169" spans="1:8" x14ac:dyDescent="0.3">
      <c r="A169" s="2" t="s">
        <v>853</v>
      </c>
      <c r="B169" s="17" t="s">
        <v>316</v>
      </c>
      <c r="C169" s="2">
        <f t="shared" si="8"/>
        <v>0</v>
      </c>
      <c r="D169" s="2" t="s">
        <v>317</v>
      </c>
      <c r="E169" s="2">
        <f t="shared" si="9"/>
        <v>2</v>
      </c>
      <c r="F169" s="17" t="s">
        <v>316</v>
      </c>
      <c r="G169" s="2">
        <f t="shared" si="10"/>
        <v>0</v>
      </c>
      <c r="H169" s="2">
        <f t="shared" si="11"/>
        <v>0</v>
      </c>
    </row>
    <row r="170" spans="1:8" x14ac:dyDescent="0.3">
      <c r="A170" s="2" t="s">
        <v>152</v>
      </c>
      <c r="B170" s="17" t="s">
        <v>316</v>
      </c>
      <c r="C170" s="2">
        <f t="shared" si="8"/>
        <v>0</v>
      </c>
      <c r="D170" s="2" t="s">
        <v>319</v>
      </c>
      <c r="E170" s="2">
        <f t="shared" si="9"/>
        <v>4</v>
      </c>
      <c r="F170" s="17" t="s">
        <v>316</v>
      </c>
      <c r="G170" s="2">
        <f t="shared" si="10"/>
        <v>0</v>
      </c>
      <c r="H170" s="2">
        <f t="shared" si="11"/>
        <v>0</v>
      </c>
    </row>
    <row r="171" spans="1:8" x14ac:dyDescent="0.3">
      <c r="A171" s="2" t="s">
        <v>894</v>
      </c>
      <c r="B171" s="17" t="s">
        <v>316</v>
      </c>
      <c r="C171" s="2">
        <f t="shared" si="8"/>
        <v>0</v>
      </c>
      <c r="D171" s="2" t="s">
        <v>319</v>
      </c>
      <c r="E171" s="2">
        <f t="shared" si="9"/>
        <v>4</v>
      </c>
      <c r="F171" s="17" t="s">
        <v>315</v>
      </c>
      <c r="G171" s="2">
        <f t="shared" si="10"/>
        <v>1</v>
      </c>
      <c r="H171" s="2">
        <f t="shared" si="11"/>
        <v>0</v>
      </c>
    </row>
    <row r="172" spans="1:8" x14ac:dyDescent="0.3">
      <c r="A172" s="2" t="s">
        <v>173</v>
      </c>
      <c r="B172" s="17" t="s">
        <v>316</v>
      </c>
      <c r="C172" s="2">
        <f t="shared" si="8"/>
        <v>0</v>
      </c>
      <c r="D172" s="2" t="s">
        <v>317</v>
      </c>
      <c r="E172" s="2">
        <f t="shared" si="9"/>
        <v>2</v>
      </c>
      <c r="F172" s="17" t="s">
        <v>316</v>
      </c>
      <c r="G172" s="2">
        <f t="shared" si="10"/>
        <v>0</v>
      </c>
      <c r="H172" s="2">
        <f t="shared" si="11"/>
        <v>0</v>
      </c>
    </row>
    <row r="173" spans="1:8" x14ac:dyDescent="0.3">
      <c r="A173" s="2" t="s">
        <v>696</v>
      </c>
      <c r="B173" s="17" t="s">
        <v>316</v>
      </c>
      <c r="C173" s="2">
        <f t="shared" si="8"/>
        <v>0</v>
      </c>
      <c r="D173" s="2" t="s">
        <v>318</v>
      </c>
      <c r="E173" s="2">
        <f t="shared" si="9"/>
        <v>3</v>
      </c>
      <c r="F173" s="17" t="s">
        <v>316</v>
      </c>
      <c r="G173" s="2">
        <f t="shared" si="10"/>
        <v>0</v>
      </c>
      <c r="H173" s="2">
        <f t="shared" si="11"/>
        <v>0</v>
      </c>
    </row>
    <row r="174" spans="1:8" x14ac:dyDescent="0.3">
      <c r="A174" s="2" t="s">
        <v>811</v>
      </c>
      <c r="B174" s="17" t="s">
        <v>316</v>
      </c>
      <c r="C174" s="2">
        <f t="shared" si="8"/>
        <v>0</v>
      </c>
      <c r="D174" s="2" t="s">
        <v>317</v>
      </c>
      <c r="E174" s="2">
        <f t="shared" si="9"/>
        <v>2</v>
      </c>
      <c r="F174" s="17" t="s">
        <v>315</v>
      </c>
      <c r="G174" s="2">
        <f t="shared" si="10"/>
        <v>1</v>
      </c>
      <c r="H174" s="2">
        <f t="shared" si="11"/>
        <v>0</v>
      </c>
    </row>
    <row r="175" spans="1:8" x14ac:dyDescent="0.3">
      <c r="A175" s="2" t="s">
        <v>195</v>
      </c>
      <c r="B175" s="17" t="s">
        <v>316</v>
      </c>
      <c r="C175" s="2">
        <f t="shared" si="8"/>
        <v>0</v>
      </c>
      <c r="D175" s="2" t="s">
        <v>319</v>
      </c>
      <c r="E175" s="2">
        <f t="shared" si="9"/>
        <v>4</v>
      </c>
      <c r="F175" s="17" t="s">
        <v>315</v>
      </c>
      <c r="G175" s="2">
        <f t="shared" si="10"/>
        <v>1</v>
      </c>
      <c r="H175" s="2">
        <f t="shared" si="11"/>
        <v>0</v>
      </c>
    </row>
    <row r="176" spans="1:8" x14ac:dyDescent="0.3">
      <c r="A176" s="2" t="s">
        <v>203</v>
      </c>
      <c r="B176" s="17" t="s">
        <v>316</v>
      </c>
      <c r="C176" s="2">
        <f t="shared" si="8"/>
        <v>0</v>
      </c>
      <c r="D176" s="2" t="s">
        <v>319</v>
      </c>
      <c r="E176" s="2">
        <f t="shared" si="9"/>
        <v>4</v>
      </c>
      <c r="F176" s="17" t="s">
        <v>316</v>
      </c>
      <c r="G176" s="2">
        <f t="shared" si="10"/>
        <v>0</v>
      </c>
      <c r="H176" s="2">
        <f t="shared" si="11"/>
        <v>0</v>
      </c>
    </row>
    <row r="177" spans="1:8" x14ac:dyDescent="0.3">
      <c r="A177" s="2" t="s">
        <v>699</v>
      </c>
      <c r="B177" s="17" t="s">
        <v>316</v>
      </c>
      <c r="C177" s="2">
        <f t="shared" si="8"/>
        <v>0</v>
      </c>
      <c r="D177" s="2" t="s">
        <v>320</v>
      </c>
      <c r="E177" s="2">
        <f t="shared" si="9"/>
        <v>1</v>
      </c>
      <c r="F177" s="17" t="s">
        <v>316</v>
      </c>
      <c r="G177" s="2">
        <f t="shared" si="10"/>
        <v>0</v>
      </c>
      <c r="H177" s="2">
        <f t="shared" si="11"/>
        <v>0</v>
      </c>
    </row>
    <row r="178" spans="1:8" x14ac:dyDescent="0.3">
      <c r="A178" s="2" t="s">
        <v>727</v>
      </c>
      <c r="B178" s="17" t="s">
        <v>316</v>
      </c>
      <c r="C178" s="2">
        <f t="shared" si="8"/>
        <v>0</v>
      </c>
      <c r="D178" s="2" t="s">
        <v>320</v>
      </c>
      <c r="E178" s="2">
        <f t="shared" si="9"/>
        <v>1</v>
      </c>
      <c r="F178" s="17" t="s">
        <v>315</v>
      </c>
      <c r="G178" s="2">
        <f t="shared" si="10"/>
        <v>1</v>
      </c>
      <c r="H178" s="2">
        <f t="shared" si="11"/>
        <v>0</v>
      </c>
    </row>
    <row r="179" spans="1:8" x14ac:dyDescent="0.3">
      <c r="A179" s="2" t="s">
        <v>702</v>
      </c>
      <c r="B179" s="17" t="s">
        <v>316</v>
      </c>
      <c r="C179" s="2">
        <f t="shared" si="8"/>
        <v>0</v>
      </c>
      <c r="D179" s="2" t="s">
        <v>317</v>
      </c>
      <c r="E179" s="2">
        <f t="shared" si="9"/>
        <v>2</v>
      </c>
      <c r="F179" s="17" t="s">
        <v>315</v>
      </c>
      <c r="G179" s="2">
        <f t="shared" si="10"/>
        <v>1</v>
      </c>
      <c r="H179" s="2">
        <f t="shared" si="11"/>
        <v>0</v>
      </c>
    </row>
    <row r="180" spans="1:8" x14ac:dyDescent="0.3">
      <c r="A180" s="2" t="s">
        <v>934</v>
      </c>
      <c r="B180" s="17" t="s">
        <v>316</v>
      </c>
      <c r="C180" s="2">
        <f t="shared" si="8"/>
        <v>0</v>
      </c>
      <c r="D180" s="2" t="s">
        <v>317</v>
      </c>
      <c r="E180" s="2">
        <f t="shared" si="9"/>
        <v>2</v>
      </c>
      <c r="F180" s="17" t="s">
        <v>315</v>
      </c>
      <c r="G180" s="2">
        <f t="shared" si="10"/>
        <v>1</v>
      </c>
      <c r="H180" s="2">
        <f t="shared" si="11"/>
        <v>0</v>
      </c>
    </row>
    <row r="181" spans="1:8" x14ac:dyDescent="0.3">
      <c r="A181" s="2" t="s">
        <v>148</v>
      </c>
      <c r="B181" s="17" t="s">
        <v>316</v>
      </c>
      <c r="C181" s="2">
        <f t="shared" si="8"/>
        <v>0</v>
      </c>
      <c r="D181" s="2" t="s">
        <v>318</v>
      </c>
      <c r="E181" s="2">
        <f t="shared" si="9"/>
        <v>3</v>
      </c>
      <c r="F181" s="17" t="s">
        <v>316</v>
      </c>
      <c r="G181" s="2">
        <f t="shared" si="10"/>
        <v>0</v>
      </c>
      <c r="H181" s="2">
        <f t="shared" si="11"/>
        <v>0</v>
      </c>
    </row>
    <row r="182" spans="1:8" x14ac:dyDescent="0.3">
      <c r="A182" s="2" t="s">
        <v>912</v>
      </c>
      <c r="B182" s="17" t="s">
        <v>316</v>
      </c>
      <c r="C182" s="2">
        <f t="shared" si="8"/>
        <v>0</v>
      </c>
      <c r="D182" s="2" t="s">
        <v>319</v>
      </c>
      <c r="E182" s="2">
        <f t="shared" si="9"/>
        <v>4</v>
      </c>
      <c r="F182" s="17" t="s">
        <v>315</v>
      </c>
      <c r="G182" s="2">
        <f t="shared" si="10"/>
        <v>1</v>
      </c>
      <c r="H182" s="2">
        <f t="shared" si="11"/>
        <v>0</v>
      </c>
    </row>
    <row r="183" spans="1:8" x14ac:dyDescent="0.3">
      <c r="A183" s="2" t="s">
        <v>909</v>
      </c>
      <c r="B183" s="17" t="s">
        <v>316</v>
      </c>
      <c r="C183" s="2">
        <f t="shared" si="8"/>
        <v>0</v>
      </c>
      <c r="D183" s="2" t="s">
        <v>320</v>
      </c>
      <c r="E183" s="2">
        <f t="shared" si="9"/>
        <v>1</v>
      </c>
      <c r="F183" s="17" t="s">
        <v>315</v>
      </c>
      <c r="G183" s="2">
        <f t="shared" si="10"/>
        <v>1</v>
      </c>
      <c r="H183" s="2">
        <f t="shared" si="11"/>
        <v>0</v>
      </c>
    </row>
    <row r="184" spans="1:8" x14ac:dyDescent="0.3">
      <c r="A184" s="2" t="s">
        <v>726</v>
      </c>
      <c r="B184" s="17" t="s">
        <v>315</v>
      </c>
      <c r="C184" s="2">
        <f t="shared" si="8"/>
        <v>1</v>
      </c>
      <c r="D184" s="2" t="s">
        <v>318</v>
      </c>
      <c r="E184" s="2">
        <f t="shared" si="9"/>
        <v>3</v>
      </c>
      <c r="F184" s="17" t="s">
        <v>316</v>
      </c>
      <c r="G184" s="2">
        <f t="shared" si="10"/>
        <v>0</v>
      </c>
      <c r="H184" s="2">
        <f t="shared" si="11"/>
        <v>3</v>
      </c>
    </row>
    <row r="185" spans="1:8" x14ac:dyDescent="0.3">
      <c r="A185" s="2" t="s">
        <v>808</v>
      </c>
      <c r="B185" s="17" t="s">
        <v>315</v>
      </c>
      <c r="C185" s="2">
        <f t="shared" si="8"/>
        <v>1</v>
      </c>
      <c r="D185" s="2" t="s">
        <v>319</v>
      </c>
      <c r="E185" s="2">
        <f t="shared" si="9"/>
        <v>4</v>
      </c>
      <c r="F185" s="17" t="s">
        <v>316</v>
      </c>
      <c r="G185" s="2">
        <f t="shared" si="10"/>
        <v>0</v>
      </c>
      <c r="H185" s="2">
        <f t="shared" si="11"/>
        <v>4</v>
      </c>
    </row>
    <row r="186" spans="1:8" x14ac:dyDescent="0.3">
      <c r="A186" s="2" t="s">
        <v>714</v>
      </c>
      <c r="B186" s="17" t="s">
        <v>315</v>
      </c>
      <c r="C186" s="2">
        <f t="shared" si="8"/>
        <v>1</v>
      </c>
      <c r="D186" s="2" t="s">
        <v>318</v>
      </c>
      <c r="E186" s="2">
        <f t="shared" si="9"/>
        <v>3</v>
      </c>
      <c r="F186" s="17" t="s">
        <v>315</v>
      </c>
      <c r="G186" s="2">
        <f t="shared" si="10"/>
        <v>1</v>
      </c>
      <c r="H186" s="2">
        <f t="shared" si="11"/>
        <v>3</v>
      </c>
    </row>
    <row r="187" spans="1:8" x14ac:dyDescent="0.3">
      <c r="A187" s="2" t="s">
        <v>1109</v>
      </c>
      <c r="B187" s="17" t="s">
        <v>315</v>
      </c>
      <c r="C187" s="2">
        <f t="shared" si="8"/>
        <v>1</v>
      </c>
      <c r="D187" s="2" t="s">
        <v>317</v>
      </c>
      <c r="E187" s="2">
        <f t="shared" si="9"/>
        <v>2</v>
      </c>
      <c r="F187" s="17" t="s">
        <v>316</v>
      </c>
      <c r="G187" s="2">
        <f t="shared" si="10"/>
        <v>0</v>
      </c>
      <c r="H187" s="2">
        <f t="shared" si="11"/>
        <v>2</v>
      </c>
    </row>
    <row r="188" spans="1:8" x14ac:dyDescent="0.3">
      <c r="A188" s="2" t="s">
        <v>735</v>
      </c>
      <c r="B188" s="17" t="s">
        <v>315</v>
      </c>
      <c r="C188" s="2">
        <f t="shared" si="8"/>
        <v>1</v>
      </c>
      <c r="D188" s="2" t="s">
        <v>320</v>
      </c>
      <c r="E188" s="2">
        <f t="shared" si="9"/>
        <v>1</v>
      </c>
      <c r="F188" s="17" t="s">
        <v>315</v>
      </c>
      <c r="G188" s="2">
        <f t="shared" si="10"/>
        <v>1</v>
      </c>
      <c r="H188" s="2">
        <f t="shared" si="11"/>
        <v>1</v>
      </c>
    </row>
    <row r="189" spans="1:8" x14ac:dyDescent="0.3">
      <c r="A189" s="2" t="s">
        <v>858</v>
      </c>
      <c r="B189" s="17" t="s">
        <v>315</v>
      </c>
      <c r="C189" s="2">
        <f t="shared" si="8"/>
        <v>1</v>
      </c>
      <c r="D189" s="2" t="s">
        <v>320</v>
      </c>
      <c r="E189" s="2">
        <f t="shared" si="9"/>
        <v>1</v>
      </c>
      <c r="F189" s="17" t="s">
        <v>315</v>
      </c>
      <c r="G189" s="2">
        <f t="shared" si="10"/>
        <v>1</v>
      </c>
      <c r="H189" s="2">
        <f t="shared" si="11"/>
        <v>1</v>
      </c>
    </row>
    <row r="190" spans="1:8" x14ac:dyDescent="0.3">
      <c r="A190" s="2" t="s">
        <v>781</v>
      </c>
      <c r="B190" s="17" t="s">
        <v>315</v>
      </c>
      <c r="C190" s="2">
        <f t="shared" si="8"/>
        <v>1</v>
      </c>
      <c r="D190" s="2" t="s">
        <v>318</v>
      </c>
      <c r="E190" s="2">
        <f t="shared" si="9"/>
        <v>3</v>
      </c>
      <c r="F190" s="17" t="s">
        <v>315</v>
      </c>
      <c r="G190" s="2">
        <f t="shared" si="10"/>
        <v>1</v>
      </c>
      <c r="H190" s="2">
        <f t="shared" si="11"/>
        <v>3</v>
      </c>
    </row>
    <row r="191" spans="1:8" x14ac:dyDescent="0.3">
      <c r="A191" s="2" t="s">
        <v>154</v>
      </c>
      <c r="B191" s="17" t="s">
        <v>315</v>
      </c>
      <c r="C191" s="2">
        <f t="shared" si="8"/>
        <v>1</v>
      </c>
      <c r="D191" s="2" t="s">
        <v>317</v>
      </c>
      <c r="E191" s="2">
        <f t="shared" si="9"/>
        <v>2</v>
      </c>
      <c r="F191" s="17" t="s">
        <v>316</v>
      </c>
      <c r="G191" s="2">
        <f t="shared" si="10"/>
        <v>0</v>
      </c>
      <c r="H191" s="2">
        <f t="shared" si="11"/>
        <v>2</v>
      </c>
    </row>
    <row r="192" spans="1:8" x14ac:dyDescent="0.3">
      <c r="A192" s="2" t="s">
        <v>1111</v>
      </c>
      <c r="B192" s="17" t="s">
        <v>315</v>
      </c>
      <c r="C192" s="2">
        <f t="shared" si="8"/>
        <v>1</v>
      </c>
      <c r="D192" s="2" t="s">
        <v>320</v>
      </c>
      <c r="E192" s="2">
        <f t="shared" si="9"/>
        <v>1</v>
      </c>
      <c r="F192" s="17" t="s">
        <v>315</v>
      </c>
      <c r="G192" s="2">
        <f t="shared" si="10"/>
        <v>1</v>
      </c>
      <c r="H192" s="2">
        <f t="shared" si="11"/>
        <v>1</v>
      </c>
    </row>
    <row r="193" spans="1:8" x14ac:dyDescent="0.3">
      <c r="A193" s="2" t="s">
        <v>933</v>
      </c>
      <c r="B193" s="17" t="s">
        <v>315</v>
      </c>
      <c r="C193" s="2">
        <f t="shared" si="8"/>
        <v>1</v>
      </c>
      <c r="D193" s="2" t="s">
        <v>318</v>
      </c>
      <c r="E193" s="2">
        <f t="shared" si="9"/>
        <v>3</v>
      </c>
      <c r="F193" s="17" t="s">
        <v>316</v>
      </c>
      <c r="G193" s="2">
        <f t="shared" si="10"/>
        <v>0</v>
      </c>
      <c r="H193" s="2">
        <f t="shared" si="11"/>
        <v>3</v>
      </c>
    </row>
    <row r="194" spans="1:8" x14ac:dyDescent="0.3">
      <c r="A194" s="2" t="s">
        <v>930</v>
      </c>
      <c r="B194" s="17" t="s">
        <v>315</v>
      </c>
      <c r="C194" s="2">
        <f t="shared" ref="C194:C257" si="12">IF(B194="Yes",1,0)</f>
        <v>1</v>
      </c>
      <c r="D194" s="2" t="s">
        <v>318</v>
      </c>
      <c r="E194" s="2">
        <f t="shared" ref="E194:E257" si="13">IF(D194="Needs Improvement",1,IF(D194="Meets Expectations",2,IF(D194="Exceeds Expectations",3,IF(D194="Outstanding",4,"Unknown"))))</f>
        <v>3</v>
      </c>
      <c r="F194" s="17" t="s">
        <v>316</v>
      </c>
      <c r="G194" s="2">
        <f t="shared" ref="G194:G257" si="14">IF(F194="Yes",1,0)</f>
        <v>0</v>
      </c>
      <c r="H194" s="2">
        <f t="shared" si="11"/>
        <v>3</v>
      </c>
    </row>
    <row r="195" spans="1:8" x14ac:dyDescent="0.3">
      <c r="A195" s="2" t="s">
        <v>188</v>
      </c>
      <c r="B195" s="17" t="s">
        <v>315</v>
      </c>
      <c r="C195" s="2">
        <f t="shared" si="12"/>
        <v>1</v>
      </c>
      <c r="D195" s="2" t="s">
        <v>318</v>
      </c>
      <c r="E195" s="2">
        <f t="shared" si="13"/>
        <v>3</v>
      </c>
      <c r="F195" s="17" t="s">
        <v>315</v>
      </c>
      <c r="G195" s="2">
        <f t="shared" si="14"/>
        <v>1</v>
      </c>
      <c r="H195" s="2">
        <f t="shared" ref="H195:H258" si="15">E195*C195</f>
        <v>3</v>
      </c>
    </row>
    <row r="196" spans="1:8" x14ac:dyDescent="0.3">
      <c r="A196" s="2" t="s">
        <v>939</v>
      </c>
      <c r="B196" s="17" t="s">
        <v>315</v>
      </c>
      <c r="C196" s="2">
        <f t="shared" si="12"/>
        <v>1</v>
      </c>
      <c r="D196" s="2" t="s">
        <v>317</v>
      </c>
      <c r="E196" s="2">
        <f t="shared" si="13"/>
        <v>2</v>
      </c>
      <c r="F196" s="17" t="s">
        <v>315</v>
      </c>
      <c r="G196" s="2">
        <f t="shared" si="14"/>
        <v>1</v>
      </c>
      <c r="H196" s="2">
        <f t="shared" si="15"/>
        <v>2</v>
      </c>
    </row>
    <row r="197" spans="1:8" x14ac:dyDescent="0.3">
      <c r="A197" s="2" t="s">
        <v>670</v>
      </c>
      <c r="B197" s="17" t="s">
        <v>315</v>
      </c>
      <c r="C197" s="2">
        <f t="shared" si="12"/>
        <v>1</v>
      </c>
      <c r="D197" s="2" t="s">
        <v>317</v>
      </c>
      <c r="E197" s="2">
        <f t="shared" si="13"/>
        <v>2</v>
      </c>
      <c r="F197" s="17" t="s">
        <v>316</v>
      </c>
      <c r="G197" s="2">
        <f t="shared" si="14"/>
        <v>0</v>
      </c>
      <c r="H197" s="2">
        <f t="shared" si="15"/>
        <v>2</v>
      </c>
    </row>
    <row r="198" spans="1:8" x14ac:dyDescent="0.3">
      <c r="A198" s="2" t="s">
        <v>935</v>
      </c>
      <c r="B198" s="17" t="s">
        <v>315</v>
      </c>
      <c r="C198" s="2">
        <f t="shared" si="12"/>
        <v>1</v>
      </c>
      <c r="D198" s="2" t="s">
        <v>319</v>
      </c>
      <c r="E198" s="2">
        <f t="shared" si="13"/>
        <v>4</v>
      </c>
      <c r="F198" s="17" t="s">
        <v>316</v>
      </c>
      <c r="G198" s="2">
        <f t="shared" si="14"/>
        <v>0</v>
      </c>
      <c r="H198" s="2">
        <f t="shared" si="15"/>
        <v>4</v>
      </c>
    </row>
    <row r="199" spans="1:8" x14ac:dyDescent="0.3">
      <c r="A199" s="2" t="s">
        <v>660</v>
      </c>
      <c r="B199" s="17" t="s">
        <v>315</v>
      </c>
      <c r="C199" s="2">
        <f t="shared" si="12"/>
        <v>1</v>
      </c>
      <c r="D199" s="2" t="s">
        <v>318</v>
      </c>
      <c r="E199" s="2">
        <f t="shared" si="13"/>
        <v>3</v>
      </c>
      <c r="F199" s="17" t="s">
        <v>316</v>
      </c>
      <c r="G199" s="2">
        <f t="shared" si="14"/>
        <v>0</v>
      </c>
      <c r="H199" s="2">
        <f t="shared" si="15"/>
        <v>3</v>
      </c>
    </row>
    <row r="200" spans="1:8" x14ac:dyDescent="0.3">
      <c r="A200" s="2" t="s">
        <v>822</v>
      </c>
      <c r="B200" s="17" t="s">
        <v>315</v>
      </c>
      <c r="C200" s="2">
        <f t="shared" si="12"/>
        <v>1</v>
      </c>
      <c r="D200" s="2" t="s">
        <v>317</v>
      </c>
      <c r="E200" s="2">
        <f t="shared" si="13"/>
        <v>2</v>
      </c>
      <c r="F200" s="17" t="s">
        <v>316</v>
      </c>
      <c r="G200" s="2">
        <f t="shared" si="14"/>
        <v>0</v>
      </c>
      <c r="H200" s="2">
        <f t="shared" si="15"/>
        <v>2</v>
      </c>
    </row>
    <row r="201" spans="1:8" x14ac:dyDescent="0.3">
      <c r="A201" s="2" t="s">
        <v>752</v>
      </c>
      <c r="B201" s="17" t="s">
        <v>315</v>
      </c>
      <c r="C201" s="2">
        <f t="shared" si="12"/>
        <v>1</v>
      </c>
      <c r="D201" s="2" t="s">
        <v>318</v>
      </c>
      <c r="E201" s="2">
        <f t="shared" si="13"/>
        <v>3</v>
      </c>
      <c r="F201" s="17" t="s">
        <v>315</v>
      </c>
      <c r="G201" s="2">
        <f t="shared" si="14"/>
        <v>1</v>
      </c>
      <c r="H201" s="2">
        <f t="shared" si="15"/>
        <v>3</v>
      </c>
    </row>
    <row r="202" spans="1:8" x14ac:dyDescent="0.3">
      <c r="A202" s="2" t="s">
        <v>919</v>
      </c>
      <c r="B202" s="17" t="s">
        <v>315</v>
      </c>
      <c r="C202" s="2">
        <f t="shared" si="12"/>
        <v>1</v>
      </c>
      <c r="D202" s="2" t="s">
        <v>317</v>
      </c>
      <c r="E202" s="2">
        <f t="shared" si="13"/>
        <v>2</v>
      </c>
      <c r="F202" s="17" t="s">
        <v>316</v>
      </c>
      <c r="G202" s="2">
        <f t="shared" si="14"/>
        <v>0</v>
      </c>
      <c r="H202" s="2">
        <f t="shared" si="15"/>
        <v>2</v>
      </c>
    </row>
    <row r="203" spans="1:8" x14ac:dyDescent="0.3">
      <c r="A203" s="2" t="s">
        <v>893</v>
      </c>
      <c r="B203" s="17" t="s">
        <v>315</v>
      </c>
      <c r="C203" s="2">
        <f t="shared" si="12"/>
        <v>1</v>
      </c>
      <c r="D203" s="2" t="s">
        <v>320</v>
      </c>
      <c r="E203" s="2">
        <f t="shared" si="13"/>
        <v>1</v>
      </c>
      <c r="F203" s="17" t="s">
        <v>315</v>
      </c>
      <c r="G203" s="2">
        <f t="shared" si="14"/>
        <v>1</v>
      </c>
      <c r="H203" s="2">
        <f t="shared" si="15"/>
        <v>1</v>
      </c>
    </row>
    <row r="204" spans="1:8" x14ac:dyDescent="0.3">
      <c r="A204" s="2" t="s">
        <v>791</v>
      </c>
      <c r="B204" s="17" t="s">
        <v>315</v>
      </c>
      <c r="C204" s="2">
        <f t="shared" si="12"/>
        <v>1</v>
      </c>
      <c r="D204" s="2" t="s">
        <v>320</v>
      </c>
      <c r="E204" s="2">
        <f t="shared" si="13"/>
        <v>1</v>
      </c>
      <c r="F204" s="17" t="s">
        <v>315</v>
      </c>
      <c r="G204" s="2">
        <f t="shared" si="14"/>
        <v>1</v>
      </c>
      <c r="H204" s="2">
        <f t="shared" si="15"/>
        <v>1</v>
      </c>
    </row>
    <row r="205" spans="1:8" x14ac:dyDescent="0.3">
      <c r="A205" s="2" t="s">
        <v>945</v>
      </c>
      <c r="B205" s="17" t="s">
        <v>315</v>
      </c>
      <c r="C205" s="2">
        <f t="shared" si="12"/>
        <v>1</v>
      </c>
      <c r="D205" s="2" t="s">
        <v>319</v>
      </c>
      <c r="E205" s="2">
        <f t="shared" si="13"/>
        <v>4</v>
      </c>
      <c r="F205" s="17" t="s">
        <v>315</v>
      </c>
      <c r="G205" s="2">
        <f t="shared" si="14"/>
        <v>1</v>
      </c>
      <c r="H205" s="2">
        <f t="shared" si="15"/>
        <v>4</v>
      </c>
    </row>
    <row r="206" spans="1:8" x14ac:dyDescent="0.3">
      <c r="A206" s="2" t="s">
        <v>783</v>
      </c>
      <c r="B206" s="17" t="s">
        <v>315</v>
      </c>
      <c r="C206" s="2">
        <f t="shared" si="12"/>
        <v>1</v>
      </c>
      <c r="D206" s="2" t="s">
        <v>318</v>
      </c>
      <c r="E206" s="2">
        <f t="shared" si="13"/>
        <v>3</v>
      </c>
      <c r="F206" s="17" t="s">
        <v>316</v>
      </c>
      <c r="G206" s="2">
        <f t="shared" si="14"/>
        <v>0</v>
      </c>
      <c r="H206" s="2">
        <f t="shared" si="15"/>
        <v>3</v>
      </c>
    </row>
    <row r="207" spans="1:8" x14ac:dyDescent="0.3">
      <c r="A207" s="2" t="s">
        <v>149</v>
      </c>
      <c r="B207" s="17" t="s">
        <v>315</v>
      </c>
      <c r="C207" s="2">
        <f t="shared" si="12"/>
        <v>1</v>
      </c>
      <c r="D207" s="2" t="s">
        <v>319</v>
      </c>
      <c r="E207" s="2">
        <f t="shared" si="13"/>
        <v>4</v>
      </c>
      <c r="F207" s="17" t="s">
        <v>316</v>
      </c>
      <c r="G207" s="2">
        <f t="shared" si="14"/>
        <v>0</v>
      </c>
      <c r="H207" s="2">
        <f t="shared" si="15"/>
        <v>4</v>
      </c>
    </row>
    <row r="208" spans="1:8" x14ac:dyDescent="0.3">
      <c r="A208" s="2" t="s">
        <v>132</v>
      </c>
      <c r="B208" s="17" t="s">
        <v>315</v>
      </c>
      <c r="C208" s="2">
        <f t="shared" si="12"/>
        <v>1</v>
      </c>
      <c r="D208" s="2" t="s">
        <v>317</v>
      </c>
      <c r="E208" s="2">
        <f t="shared" si="13"/>
        <v>2</v>
      </c>
      <c r="F208" s="17" t="s">
        <v>315</v>
      </c>
      <c r="G208" s="2">
        <f t="shared" si="14"/>
        <v>1</v>
      </c>
      <c r="H208" s="2">
        <f t="shared" si="15"/>
        <v>2</v>
      </c>
    </row>
    <row r="209" spans="1:8" x14ac:dyDescent="0.3">
      <c r="A209" s="2" t="s">
        <v>680</v>
      </c>
      <c r="B209" s="17" t="s">
        <v>315</v>
      </c>
      <c r="C209" s="2">
        <f t="shared" si="12"/>
        <v>1</v>
      </c>
      <c r="D209" s="2" t="s">
        <v>319</v>
      </c>
      <c r="E209" s="2">
        <f t="shared" si="13"/>
        <v>4</v>
      </c>
      <c r="F209" s="17" t="s">
        <v>316</v>
      </c>
      <c r="G209" s="2">
        <f t="shared" si="14"/>
        <v>0</v>
      </c>
      <c r="H209" s="2">
        <f t="shared" si="15"/>
        <v>4</v>
      </c>
    </row>
    <row r="210" spans="1:8" x14ac:dyDescent="0.3">
      <c r="A210" s="2" t="s">
        <v>222</v>
      </c>
      <c r="B210" s="17" t="s">
        <v>315</v>
      </c>
      <c r="C210" s="2">
        <f t="shared" si="12"/>
        <v>1</v>
      </c>
      <c r="D210" s="2" t="s">
        <v>320</v>
      </c>
      <c r="E210" s="2">
        <f t="shared" si="13"/>
        <v>1</v>
      </c>
      <c r="F210" s="17" t="s">
        <v>315</v>
      </c>
      <c r="G210" s="2">
        <f t="shared" si="14"/>
        <v>1</v>
      </c>
      <c r="H210" s="2">
        <f t="shared" si="15"/>
        <v>1</v>
      </c>
    </row>
    <row r="211" spans="1:8" x14ac:dyDescent="0.3">
      <c r="A211" s="2" t="s">
        <v>220</v>
      </c>
      <c r="B211" s="17" t="s">
        <v>315</v>
      </c>
      <c r="C211" s="2">
        <f t="shared" si="12"/>
        <v>1</v>
      </c>
      <c r="D211" s="2" t="s">
        <v>319</v>
      </c>
      <c r="E211" s="2">
        <f t="shared" si="13"/>
        <v>4</v>
      </c>
      <c r="F211" s="17" t="s">
        <v>315</v>
      </c>
      <c r="G211" s="2">
        <f t="shared" si="14"/>
        <v>1</v>
      </c>
      <c r="H211" s="2">
        <f t="shared" si="15"/>
        <v>4</v>
      </c>
    </row>
    <row r="212" spans="1:8" x14ac:dyDescent="0.3">
      <c r="A212" s="2" t="s">
        <v>861</v>
      </c>
      <c r="B212" s="17" t="s">
        <v>315</v>
      </c>
      <c r="C212" s="2">
        <f t="shared" si="12"/>
        <v>1</v>
      </c>
      <c r="D212" s="2" t="s">
        <v>319</v>
      </c>
      <c r="E212" s="2">
        <f t="shared" si="13"/>
        <v>4</v>
      </c>
      <c r="F212" s="17" t="s">
        <v>316</v>
      </c>
      <c r="G212" s="2">
        <f t="shared" si="14"/>
        <v>0</v>
      </c>
      <c r="H212" s="2">
        <f t="shared" si="15"/>
        <v>4</v>
      </c>
    </row>
    <row r="213" spans="1:8" x14ac:dyDescent="0.3">
      <c r="A213" s="2" t="s">
        <v>186</v>
      </c>
      <c r="B213" s="17" t="s">
        <v>315</v>
      </c>
      <c r="C213" s="2">
        <f t="shared" si="12"/>
        <v>1</v>
      </c>
      <c r="D213" s="2" t="s">
        <v>318</v>
      </c>
      <c r="E213" s="2">
        <f t="shared" si="13"/>
        <v>3</v>
      </c>
      <c r="F213" s="17" t="s">
        <v>316</v>
      </c>
      <c r="G213" s="2">
        <f t="shared" si="14"/>
        <v>0</v>
      </c>
      <c r="H213" s="2">
        <f t="shared" si="15"/>
        <v>3</v>
      </c>
    </row>
    <row r="214" spans="1:8" x14ac:dyDescent="0.3">
      <c r="A214" s="2" t="s">
        <v>217</v>
      </c>
      <c r="B214" s="17" t="s">
        <v>315</v>
      </c>
      <c r="C214" s="2">
        <f t="shared" si="12"/>
        <v>1</v>
      </c>
      <c r="D214" s="2" t="s">
        <v>319</v>
      </c>
      <c r="E214" s="2">
        <f t="shared" si="13"/>
        <v>4</v>
      </c>
      <c r="F214" s="17" t="s">
        <v>315</v>
      </c>
      <c r="G214" s="2">
        <f t="shared" si="14"/>
        <v>1</v>
      </c>
      <c r="H214" s="2">
        <f t="shared" si="15"/>
        <v>4</v>
      </c>
    </row>
    <row r="215" spans="1:8" x14ac:dyDescent="0.3">
      <c r="A215" s="2" t="s">
        <v>681</v>
      </c>
      <c r="B215" s="17" t="s">
        <v>315</v>
      </c>
      <c r="C215" s="2">
        <f t="shared" si="12"/>
        <v>1</v>
      </c>
      <c r="D215" s="2" t="s">
        <v>318</v>
      </c>
      <c r="E215" s="2">
        <f t="shared" si="13"/>
        <v>3</v>
      </c>
      <c r="F215" s="17" t="s">
        <v>316</v>
      </c>
      <c r="G215" s="2">
        <f t="shared" si="14"/>
        <v>0</v>
      </c>
      <c r="H215" s="2">
        <f t="shared" si="15"/>
        <v>3</v>
      </c>
    </row>
    <row r="216" spans="1:8" x14ac:dyDescent="0.3">
      <c r="A216" s="2" t="s">
        <v>828</v>
      </c>
      <c r="B216" s="17" t="s">
        <v>315</v>
      </c>
      <c r="C216" s="2">
        <f t="shared" si="12"/>
        <v>1</v>
      </c>
      <c r="D216" s="2" t="s">
        <v>318</v>
      </c>
      <c r="E216" s="2">
        <f t="shared" si="13"/>
        <v>3</v>
      </c>
      <c r="F216" s="17" t="s">
        <v>316</v>
      </c>
      <c r="G216" s="2">
        <f t="shared" si="14"/>
        <v>0</v>
      </c>
      <c r="H216" s="2">
        <f t="shared" si="15"/>
        <v>3</v>
      </c>
    </row>
    <row r="217" spans="1:8" x14ac:dyDescent="0.3">
      <c r="A217" s="2" t="s">
        <v>665</v>
      </c>
      <c r="B217" s="17" t="s">
        <v>315</v>
      </c>
      <c r="C217" s="2">
        <f t="shared" si="12"/>
        <v>1</v>
      </c>
      <c r="D217" s="2" t="s">
        <v>318</v>
      </c>
      <c r="E217" s="2">
        <f t="shared" si="13"/>
        <v>3</v>
      </c>
      <c r="F217" s="17" t="s">
        <v>316</v>
      </c>
      <c r="G217" s="2">
        <f t="shared" si="14"/>
        <v>0</v>
      </c>
      <c r="H217" s="2">
        <f t="shared" si="15"/>
        <v>3</v>
      </c>
    </row>
    <row r="218" spans="1:8" x14ac:dyDescent="0.3">
      <c r="A218" s="2" t="s">
        <v>663</v>
      </c>
      <c r="B218" s="17" t="s">
        <v>315</v>
      </c>
      <c r="C218" s="2">
        <f t="shared" si="12"/>
        <v>1</v>
      </c>
      <c r="D218" s="2" t="s">
        <v>318</v>
      </c>
      <c r="E218" s="2">
        <f t="shared" si="13"/>
        <v>3</v>
      </c>
      <c r="F218" s="17" t="s">
        <v>315</v>
      </c>
      <c r="G218" s="2">
        <f t="shared" si="14"/>
        <v>1</v>
      </c>
      <c r="H218" s="2">
        <f t="shared" si="15"/>
        <v>3</v>
      </c>
    </row>
    <row r="219" spans="1:8" x14ac:dyDescent="0.3">
      <c r="A219" s="2" t="s">
        <v>914</v>
      </c>
      <c r="B219" s="17" t="s">
        <v>315</v>
      </c>
      <c r="C219" s="2">
        <f t="shared" si="12"/>
        <v>1</v>
      </c>
      <c r="D219" s="2" t="s">
        <v>318</v>
      </c>
      <c r="E219" s="2">
        <f t="shared" si="13"/>
        <v>3</v>
      </c>
      <c r="F219" s="17" t="s">
        <v>316</v>
      </c>
      <c r="G219" s="2">
        <f t="shared" si="14"/>
        <v>0</v>
      </c>
      <c r="H219" s="2">
        <f t="shared" si="15"/>
        <v>3</v>
      </c>
    </row>
    <row r="220" spans="1:8" x14ac:dyDescent="0.3">
      <c r="A220" s="2" t="s">
        <v>180</v>
      </c>
      <c r="B220" s="17" t="s">
        <v>315</v>
      </c>
      <c r="C220" s="2">
        <f t="shared" si="12"/>
        <v>1</v>
      </c>
      <c r="D220" s="2" t="s">
        <v>320</v>
      </c>
      <c r="E220" s="2">
        <f t="shared" si="13"/>
        <v>1</v>
      </c>
      <c r="F220" s="17" t="s">
        <v>316</v>
      </c>
      <c r="G220" s="2">
        <f t="shared" si="14"/>
        <v>0</v>
      </c>
      <c r="H220" s="2">
        <f t="shared" si="15"/>
        <v>1</v>
      </c>
    </row>
    <row r="221" spans="1:8" x14ac:dyDescent="0.3">
      <c r="A221" s="2" t="s">
        <v>809</v>
      </c>
      <c r="B221" s="17" t="s">
        <v>315</v>
      </c>
      <c r="C221" s="2">
        <f t="shared" si="12"/>
        <v>1</v>
      </c>
      <c r="D221" s="2" t="s">
        <v>317</v>
      </c>
      <c r="E221" s="2">
        <f t="shared" si="13"/>
        <v>2</v>
      </c>
      <c r="F221" s="17" t="s">
        <v>316</v>
      </c>
      <c r="G221" s="2">
        <f t="shared" si="14"/>
        <v>0</v>
      </c>
      <c r="H221" s="2">
        <f t="shared" si="15"/>
        <v>2</v>
      </c>
    </row>
    <row r="222" spans="1:8" x14ac:dyDescent="0.3">
      <c r="A222" s="2" t="s">
        <v>1107</v>
      </c>
      <c r="B222" s="17" t="s">
        <v>315</v>
      </c>
      <c r="C222" s="2">
        <f t="shared" si="12"/>
        <v>1</v>
      </c>
      <c r="D222" s="2" t="s">
        <v>319</v>
      </c>
      <c r="E222" s="2">
        <f t="shared" si="13"/>
        <v>4</v>
      </c>
      <c r="F222" s="17" t="s">
        <v>316</v>
      </c>
      <c r="G222" s="2">
        <f t="shared" si="14"/>
        <v>0</v>
      </c>
      <c r="H222" s="2">
        <f t="shared" si="15"/>
        <v>4</v>
      </c>
    </row>
    <row r="223" spans="1:8" x14ac:dyDescent="0.3">
      <c r="A223" s="2" t="s">
        <v>923</v>
      </c>
      <c r="B223" s="17" t="s">
        <v>315</v>
      </c>
      <c r="C223" s="2">
        <f t="shared" si="12"/>
        <v>1</v>
      </c>
      <c r="D223" s="2" t="s">
        <v>317</v>
      </c>
      <c r="E223" s="2">
        <f t="shared" si="13"/>
        <v>2</v>
      </c>
      <c r="F223" s="17" t="s">
        <v>316</v>
      </c>
      <c r="G223" s="2">
        <f t="shared" si="14"/>
        <v>0</v>
      </c>
      <c r="H223" s="2">
        <f t="shared" si="15"/>
        <v>2</v>
      </c>
    </row>
    <row r="224" spans="1:8" x14ac:dyDescent="0.3">
      <c r="A224" s="2" t="s">
        <v>178</v>
      </c>
      <c r="B224" s="17" t="s">
        <v>315</v>
      </c>
      <c r="C224" s="2">
        <f t="shared" si="12"/>
        <v>1</v>
      </c>
      <c r="D224" s="2" t="s">
        <v>317</v>
      </c>
      <c r="E224" s="2">
        <f t="shared" si="13"/>
        <v>2</v>
      </c>
      <c r="F224" s="17" t="s">
        <v>316</v>
      </c>
      <c r="G224" s="2">
        <f t="shared" si="14"/>
        <v>0</v>
      </c>
      <c r="H224" s="2">
        <f t="shared" si="15"/>
        <v>2</v>
      </c>
    </row>
    <row r="225" spans="1:8" x14ac:dyDescent="0.3">
      <c r="A225" s="2" t="s">
        <v>157</v>
      </c>
      <c r="B225" s="17" t="s">
        <v>315</v>
      </c>
      <c r="C225" s="2">
        <f t="shared" si="12"/>
        <v>1</v>
      </c>
      <c r="D225" s="2" t="s">
        <v>318</v>
      </c>
      <c r="E225" s="2">
        <f t="shared" si="13"/>
        <v>3</v>
      </c>
      <c r="F225" s="17" t="s">
        <v>316</v>
      </c>
      <c r="G225" s="2">
        <f t="shared" si="14"/>
        <v>0</v>
      </c>
      <c r="H225" s="2">
        <f t="shared" si="15"/>
        <v>3</v>
      </c>
    </row>
    <row r="226" spans="1:8" x14ac:dyDescent="0.3">
      <c r="A226" s="2" t="s">
        <v>174</v>
      </c>
      <c r="B226" s="17" t="s">
        <v>315</v>
      </c>
      <c r="C226" s="2">
        <f t="shared" si="12"/>
        <v>1</v>
      </c>
      <c r="D226" s="2" t="s">
        <v>317</v>
      </c>
      <c r="E226" s="2">
        <f t="shared" si="13"/>
        <v>2</v>
      </c>
      <c r="F226" s="17" t="s">
        <v>315</v>
      </c>
      <c r="G226" s="2">
        <f t="shared" si="14"/>
        <v>1</v>
      </c>
      <c r="H226" s="2">
        <f t="shared" si="15"/>
        <v>2</v>
      </c>
    </row>
    <row r="227" spans="1:8" x14ac:dyDescent="0.3">
      <c r="A227" s="2" t="s">
        <v>723</v>
      </c>
      <c r="B227" s="17" t="s">
        <v>315</v>
      </c>
      <c r="C227" s="2">
        <f t="shared" si="12"/>
        <v>1</v>
      </c>
      <c r="D227" s="2" t="s">
        <v>320</v>
      </c>
      <c r="E227" s="2">
        <f t="shared" si="13"/>
        <v>1</v>
      </c>
      <c r="F227" s="17" t="s">
        <v>316</v>
      </c>
      <c r="G227" s="2">
        <f t="shared" si="14"/>
        <v>0</v>
      </c>
      <c r="H227" s="2">
        <f t="shared" si="15"/>
        <v>1</v>
      </c>
    </row>
    <row r="228" spans="1:8" x14ac:dyDescent="0.3">
      <c r="A228" s="2" t="s">
        <v>728</v>
      </c>
      <c r="B228" s="17" t="s">
        <v>315</v>
      </c>
      <c r="C228" s="2">
        <f t="shared" si="12"/>
        <v>1</v>
      </c>
      <c r="D228" s="2" t="s">
        <v>320</v>
      </c>
      <c r="E228" s="2">
        <f t="shared" si="13"/>
        <v>1</v>
      </c>
      <c r="F228" s="17" t="s">
        <v>315</v>
      </c>
      <c r="G228" s="2">
        <f t="shared" si="14"/>
        <v>1</v>
      </c>
      <c r="H228" s="2">
        <f t="shared" si="15"/>
        <v>1</v>
      </c>
    </row>
    <row r="229" spans="1:8" x14ac:dyDescent="0.3">
      <c r="A229" s="2" t="s">
        <v>903</v>
      </c>
      <c r="B229" s="17" t="s">
        <v>315</v>
      </c>
      <c r="C229" s="2">
        <f t="shared" si="12"/>
        <v>1</v>
      </c>
      <c r="D229" s="2" t="s">
        <v>318</v>
      </c>
      <c r="E229" s="2">
        <f t="shared" si="13"/>
        <v>3</v>
      </c>
      <c r="F229" s="17" t="s">
        <v>315</v>
      </c>
      <c r="G229" s="2">
        <f t="shared" si="14"/>
        <v>1</v>
      </c>
      <c r="H229" s="2">
        <f t="shared" si="15"/>
        <v>3</v>
      </c>
    </row>
    <row r="230" spans="1:8" x14ac:dyDescent="0.3">
      <c r="A230" s="2" t="s">
        <v>905</v>
      </c>
      <c r="B230" s="17" t="s">
        <v>315</v>
      </c>
      <c r="C230" s="2">
        <f t="shared" si="12"/>
        <v>1</v>
      </c>
      <c r="D230" s="2" t="s">
        <v>319</v>
      </c>
      <c r="E230" s="2">
        <f t="shared" si="13"/>
        <v>4</v>
      </c>
      <c r="F230" s="17" t="s">
        <v>316</v>
      </c>
      <c r="G230" s="2">
        <f t="shared" si="14"/>
        <v>0</v>
      </c>
      <c r="H230" s="2">
        <f t="shared" si="15"/>
        <v>4</v>
      </c>
    </row>
    <row r="231" spans="1:8" x14ac:dyDescent="0.3">
      <c r="A231" s="2" t="s">
        <v>692</v>
      </c>
      <c r="B231" s="17" t="s">
        <v>315</v>
      </c>
      <c r="C231" s="2">
        <f t="shared" si="12"/>
        <v>1</v>
      </c>
      <c r="D231" s="2" t="s">
        <v>318</v>
      </c>
      <c r="E231" s="2">
        <f t="shared" si="13"/>
        <v>3</v>
      </c>
      <c r="F231" s="17" t="s">
        <v>316</v>
      </c>
      <c r="G231" s="2">
        <f t="shared" si="14"/>
        <v>0</v>
      </c>
      <c r="H231" s="2">
        <f t="shared" si="15"/>
        <v>3</v>
      </c>
    </row>
    <row r="232" spans="1:8" x14ac:dyDescent="0.3">
      <c r="A232" s="2" t="s">
        <v>717</v>
      </c>
      <c r="B232" s="17" t="s">
        <v>315</v>
      </c>
      <c r="C232" s="2">
        <f t="shared" si="12"/>
        <v>1</v>
      </c>
      <c r="D232" s="2" t="s">
        <v>320</v>
      </c>
      <c r="E232" s="2">
        <f t="shared" si="13"/>
        <v>1</v>
      </c>
      <c r="F232" s="17" t="s">
        <v>316</v>
      </c>
      <c r="G232" s="2">
        <f t="shared" si="14"/>
        <v>0</v>
      </c>
      <c r="H232" s="2">
        <f t="shared" si="15"/>
        <v>1</v>
      </c>
    </row>
    <row r="233" spans="1:8" x14ac:dyDescent="0.3">
      <c r="A233" s="2" t="s">
        <v>227</v>
      </c>
      <c r="B233" s="17" t="s">
        <v>315</v>
      </c>
      <c r="C233" s="2">
        <f t="shared" si="12"/>
        <v>1</v>
      </c>
      <c r="D233" s="2" t="s">
        <v>320</v>
      </c>
      <c r="E233" s="2">
        <f t="shared" si="13"/>
        <v>1</v>
      </c>
      <c r="F233" s="17" t="s">
        <v>315</v>
      </c>
      <c r="G233" s="2">
        <f t="shared" si="14"/>
        <v>1</v>
      </c>
      <c r="H233" s="2">
        <f t="shared" si="15"/>
        <v>1</v>
      </c>
    </row>
    <row r="234" spans="1:8" x14ac:dyDescent="0.3">
      <c r="A234" s="2" t="s">
        <v>760</v>
      </c>
      <c r="B234" s="17" t="s">
        <v>315</v>
      </c>
      <c r="C234" s="2">
        <f t="shared" si="12"/>
        <v>1</v>
      </c>
      <c r="D234" s="2" t="s">
        <v>318</v>
      </c>
      <c r="E234" s="2">
        <f t="shared" si="13"/>
        <v>3</v>
      </c>
      <c r="F234" s="17" t="s">
        <v>315</v>
      </c>
      <c r="G234" s="2">
        <f t="shared" si="14"/>
        <v>1</v>
      </c>
      <c r="H234" s="2">
        <f t="shared" si="15"/>
        <v>3</v>
      </c>
    </row>
    <row r="235" spans="1:8" x14ac:dyDescent="0.3">
      <c r="A235" s="2" t="s">
        <v>818</v>
      </c>
      <c r="B235" s="17" t="s">
        <v>315</v>
      </c>
      <c r="C235" s="2">
        <f t="shared" si="12"/>
        <v>1</v>
      </c>
      <c r="D235" s="2" t="s">
        <v>318</v>
      </c>
      <c r="E235" s="2">
        <f t="shared" si="13"/>
        <v>3</v>
      </c>
      <c r="F235" s="17" t="s">
        <v>315</v>
      </c>
      <c r="G235" s="2">
        <f t="shared" si="14"/>
        <v>1</v>
      </c>
      <c r="H235" s="2">
        <f t="shared" si="15"/>
        <v>3</v>
      </c>
    </row>
    <row r="236" spans="1:8" x14ac:dyDescent="0.3">
      <c r="A236" s="2" t="s">
        <v>748</v>
      </c>
      <c r="B236" s="17" t="s">
        <v>315</v>
      </c>
      <c r="C236" s="2">
        <f t="shared" si="12"/>
        <v>1</v>
      </c>
      <c r="D236" s="2" t="s">
        <v>320</v>
      </c>
      <c r="E236" s="2">
        <f t="shared" si="13"/>
        <v>1</v>
      </c>
      <c r="F236" s="17" t="s">
        <v>316</v>
      </c>
      <c r="G236" s="2">
        <f t="shared" si="14"/>
        <v>0</v>
      </c>
      <c r="H236" s="2">
        <f t="shared" si="15"/>
        <v>1</v>
      </c>
    </row>
    <row r="237" spans="1:8" x14ac:dyDescent="0.3">
      <c r="A237" s="2" t="s">
        <v>138</v>
      </c>
      <c r="B237" s="17" t="s">
        <v>315</v>
      </c>
      <c r="C237" s="2">
        <f t="shared" si="12"/>
        <v>1</v>
      </c>
      <c r="D237" s="2" t="s">
        <v>318</v>
      </c>
      <c r="E237" s="2">
        <f t="shared" si="13"/>
        <v>3</v>
      </c>
      <c r="F237" s="17" t="s">
        <v>316</v>
      </c>
      <c r="G237" s="2">
        <f t="shared" si="14"/>
        <v>0</v>
      </c>
      <c r="H237" s="2">
        <f t="shared" si="15"/>
        <v>3</v>
      </c>
    </row>
    <row r="238" spans="1:8" x14ac:dyDescent="0.3">
      <c r="A238" s="2" t="s">
        <v>888</v>
      </c>
      <c r="B238" s="17" t="s">
        <v>315</v>
      </c>
      <c r="C238" s="2">
        <f t="shared" si="12"/>
        <v>1</v>
      </c>
      <c r="D238" s="2" t="s">
        <v>318</v>
      </c>
      <c r="E238" s="2">
        <f t="shared" si="13"/>
        <v>3</v>
      </c>
      <c r="F238" s="17" t="s">
        <v>316</v>
      </c>
      <c r="G238" s="2">
        <f t="shared" si="14"/>
        <v>0</v>
      </c>
      <c r="H238" s="2">
        <f t="shared" si="15"/>
        <v>3</v>
      </c>
    </row>
    <row r="239" spans="1:8" x14ac:dyDescent="0.3">
      <c r="A239" s="2" t="s">
        <v>929</v>
      </c>
      <c r="B239" s="17" t="s">
        <v>315</v>
      </c>
      <c r="C239" s="2">
        <f t="shared" si="12"/>
        <v>1</v>
      </c>
      <c r="D239" s="2" t="s">
        <v>317</v>
      </c>
      <c r="E239" s="2">
        <f t="shared" si="13"/>
        <v>2</v>
      </c>
      <c r="F239" s="17" t="s">
        <v>316</v>
      </c>
      <c r="G239" s="2">
        <f t="shared" si="14"/>
        <v>0</v>
      </c>
      <c r="H239" s="2">
        <f t="shared" si="15"/>
        <v>2</v>
      </c>
    </row>
    <row r="240" spans="1:8" x14ac:dyDescent="0.3">
      <c r="A240" s="2" t="s">
        <v>690</v>
      </c>
      <c r="B240" s="17" t="s">
        <v>315</v>
      </c>
      <c r="C240" s="2">
        <f t="shared" si="12"/>
        <v>1</v>
      </c>
      <c r="D240" s="2" t="s">
        <v>320</v>
      </c>
      <c r="E240" s="2">
        <f t="shared" si="13"/>
        <v>1</v>
      </c>
      <c r="F240" s="17" t="s">
        <v>315</v>
      </c>
      <c r="G240" s="2">
        <f t="shared" si="14"/>
        <v>1</v>
      </c>
      <c r="H240" s="2">
        <f t="shared" si="15"/>
        <v>1</v>
      </c>
    </row>
    <row r="241" spans="1:8" x14ac:dyDescent="0.3">
      <c r="A241" s="2" t="s">
        <v>880</v>
      </c>
      <c r="B241" s="17" t="s">
        <v>315</v>
      </c>
      <c r="C241" s="2">
        <f t="shared" si="12"/>
        <v>1</v>
      </c>
      <c r="D241" s="2" t="s">
        <v>318</v>
      </c>
      <c r="E241" s="2">
        <f t="shared" si="13"/>
        <v>3</v>
      </c>
      <c r="F241" s="17" t="s">
        <v>316</v>
      </c>
      <c r="G241" s="2">
        <f t="shared" si="14"/>
        <v>0</v>
      </c>
      <c r="H241" s="2">
        <f t="shared" si="15"/>
        <v>3</v>
      </c>
    </row>
    <row r="242" spans="1:8" x14ac:dyDescent="0.3">
      <c r="A242" s="2" t="s">
        <v>868</v>
      </c>
      <c r="B242" s="17" t="s">
        <v>315</v>
      </c>
      <c r="C242" s="2">
        <f t="shared" si="12"/>
        <v>1</v>
      </c>
      <c r="D242" s="2" t="s">
        <v>319</v>
      </c>
      <c r="E242" s="2">
        <f t="shared" si="13"/>
        <v>4</v>
      </c>
      <c r="F242" s="17" t="s">
        <v>315</v>
      </c>
      <c r="G242" s="2">
        <f t="shared" si="14"/>
        <v>1</v>
      </c>
      <c r="H242" s="2">
        <f t="shared" si="15"/>
        <v>4</v>
      </c>
    </row>
    <row r="243" spans="1:8" x14ac:dyDescent="0.3">
      <c r="A243" s="2" t="s">
        <v>917</v>
      </c>
      <c r="B243" s="17" t="s">
        <v>315</v>
      </c>
      <c r="C243" s="2">
        <f t="shared" si="12"/>
        <v>1</v>
      </c>
      <c r="D243" s="2" t="s">
        <v>318</v>
      </c>
      <c r="E243" s="2">
        <f t="shared" si="13"/>
        <v>3</v>
      </c>
      <c r="F243" s="17" t="s">
        <v>316</v>
      </c>
      <c r="G243" s="2">
        <f t="shared" si="14"/>
        <v>0</v>
      </c>
      <c r="H243" s="2">
        <f t="shared" si="15"/>
        <v>3</v>
      </c>
    </row>
    <row r="244" spans="1:8" x14ac:dyDescent="0.3">
      <c r="A244" s="2" t="s">
        <v>675</v>
      </c>
      <c r="B244" s="17" t="s">
        <v>315</v>
      </c>
      <c r="C244" s="2">
        <f t="shared" si="12"/>
        <v>1</v>
      </c>
      <c r="D244" s="2" t="s">
        <v>317</v>
      </c>
      <c r="E244" s="2">
        <f t="shared" si="13"/>
        <v>2</v>
      </c>
      <c r="F244" s="17" t="s">
        <v>316</v>
      </c>
      <c r="G244" s="2">
        <f t="shared" si="14"/>
        <v>0</v>
      </c>
      <c r="H244" s="2">
        <f t="shared" si="15"/>
        <v>2</v>
      </c>
    </row>
    <row r="245" spans="1:8" x14ac:dyDescent="0.3">
      <c r="A245" s="2" t="s">
        <v>213</v>
      </c>
      <c r="B245" s="17" t="s">
        <v>315</v>
      </c>
      <c r="C245" s="2">
        <f t="shared" si="12"/>
        <v>1</v>
      </c>
      <c r="D245" s="2" t="s">
        <v>319</v>
      </c>
      <c r="E245" s="2">
        <f t="shared" si="13"/>
        <v>4</v>
      </c>
      <c r="F245" s="17" t="s">
        <v>316</v>
      </c>
      <c r="G245" s="2">
        <f t="shared" si="14"/>
        <v>0</v>
      </c>
      <c r="H245" s="2">
        <f t="shared" si="15"/>
        <v>4</v>
      </c>
    </row>
    <row r="246" spans="1:8" x14ac:dyDescent="0.3">
      <c r="A246" s="2" t="s">
        <v>737</v>
      </c>
      <c r="B246" s="17" t="s">
        <v>315</v>
      </c>
      <c r="C246" s="2">
        <f t="shared" si="12"/>
        <v>1</v>
      </c>
      <c r="D246" s="2" t="s">
        <v>319</v>
      </c>
      <c r="E246" s="2">
        <f t="shared" si="13"/>
        <v>4</v>
      </c>
      <c r="F246" s="17" t="s">
        <v>315</v>
      </c>
      <c r="G246" s="2">
        <f t="shared" si="14"/>
        <v>1</v>
      </c>
      <c r="H246" s="2">
        <f t="shared" si="15"/>
        <v>4</v>
      </c>
    </row>
    <row r="247" spans="1:8" x14ac:dyDescent="0.3">
      <c r="A247" s="2" t="s">
        <v>838</v>
      </c>
      <c r="B247" s="17" t="s">
        <v>315</v>
      </c>
      <c r="C247" s="2">
        <f t="shared" si="12"/>
        <v>1</v>
      </c>
      <c r="D247" s="2" t="s">
        <v>320</v>
      </c>
      <c r="E247" s="2">
        <f t="shared" si="13"/>
        <v>1</v>
      </c>
      <c r="F247" s="17" t="s">
        <v>316</v>
      </c>
      <c r="G247" s="2">
        <f t="shared" si="14"/>
        <v>0</v>
      </c>
      <c r="H247" s="2">
        <f t="shared" si="15"/>
        <v>1</v>
      </c>
    </row>
    <row r="248" spans="1:8" x14ac:dyDescent="0.3">
      <c r="A248" s="2" t="s">
        <v>147</v>
      </c>
      <c r="B248" s="17" t="s">
        <v>315</v>
      </c>
      <c r="C248" s="2">
        <f t="shared" si="12"/>
        <v>1</v>
      </c>
      <c r="D248" s="2" t="s">
        <v>317</v>
      </c>
      <c r="E248" s="2">
        <f t="shared" si="13"/>
        <v>2</v>
      </c>
      <c r="F248" s="17" t="s">
        <v>315</v>
      </c>
      <c r="G248" s="2">
        <f t="shared" si="14"/>
        <v>1</v>
      </c>
      <c r="H248" s="2">
        <f t="shared" si="15"/>
        <v>2</v>
      </c>
    </row>
    <row r="249" spans="1:8" x14ac:dyDescent="0.3">
      <c r="A249" s="2" t="s">
        <v>940</v>
      </c>
      <c r="B249" s="17" t="s">
        <v>315</v>
      </c>
      <c r="C249" s="2">
        <f t="shared" si="12"/>
        <v>1</v>
      </c>
      <c r="D249" s="2" t="s">
        <v>317</v>
      </c>
      <c r="E249" s="2">
        <f t="shared" si="13"/>
        <v>2</v>
      </c>
      <c r="F249" s="17" t="s">
        <v>315</v>
      </c>
      <c r="G249" s="2">
        <f t="shared" si="14"/>
        <v>1</v>
      </c>
      <c r="H249" s="2">
        <f t="shared" si="15"/>
        <v>2</v>
      </c>
    </row>
    <row r="250" spans="1:8" x14ac:dyDescent="0.3">
      <c r="A250" s="2" t="s">
        <v>879</v>
      </c>
      <c r="B250" s="17" t="s">
        <v>315</v>
      </c>
      <c r="C250" s="2">
        <f t="shared" si="12"/>
        <v>1</v>
      </c>
      <c r="D250" s="2" t="s">
        <v>320</v>
      </c>
      <c r="E250" s="2">
        <f t="shared" si="13"/>
        <v>1</v>
      </c>
      <c r="F250" s="17" t="s">
        <v>316</v>
      </c>
      <c r="G250" s="2">
        <f t="shared" si="14"/>
        <v>0</v>
      </c>
      <c r="H250" s="2">
        <f t="shared" si="15"/>
        <v>1</v>
      </c>
    </row>
    <row r="251" spans="1:8" x14ac:dyDescent="0.3">
      <c r="A251" s="2" t="s">
        <v>803</v>
      </c>
      <c r="B251" s="17" t="s">
        <v>315</v>
      </c>
      <c r="C251" s="2">
        <f t="shared" si="12"/>
        <v>1</v>
      </c>
      <c r="D251" s="2" t="s">
        <v>317</v>
      </c>
      <c r="E251" s="2">
        <f t="shared" si="13"/>
        <v>2</v>
      </c>
      <c r="F251" s="17" t="s">
        <v>316</v>
      </c>
      <c r="G251" s="2">
        <f t="shared" si="14"/>
        <v>0</v>
      </c>
      <c r="H251" s="2">
        <f t="shared" si="15"/>
        <v>2</v>
      </c>
    </row>
    <row r="252" spans="1:8" x14ac:dyDescent="0.3">
      <c r="A252" s="2" t="s">
        <v>169</v>
      </c>
      <c r="B252" s="17" t="s">
        <v>315</v>
      </c>
      <c r="C252" s="2">
        <f t="shared" si="12"/>
        <v>1</v>
      </c>
      <c r="D252" s="2" t="s">
        <v>318</v>
      </c>
      <c r="E252" s="2">
        <f t="shared" si="13"/>
        <v>3</v>
      </c>
      <c r="F252" s="17" t="s">
        <v>315</v>
      </c>
      <c r="G252" s="2">
        <f t="shared" si="14"/>
        <v>1</v>
      </c>
      <c r="H252" s="2">
        <f t="shared" si="15"/>
        <v>3</v>
      </c>
    </row>
    <row r="253" spans="1:8" x14ac:dyDescent="0.3">
      <c r="A253" s="2" t="s">
        <v>176</v>
      </c>
      <c r="B253" s="17" t="s">
        <v>315</v>
      </c>
      <c r="C253" s="2">
        <f t="shared" si="12"/>
        <v>1</v>
      </c>
      <c r="D253" s="2" t="s">
        <v>318</v>
      </c>
      <c r="E253" s="2">
        <f t="shared" si="13"/>
        <v>3</v>
      </c>
      <c r="F253" s="17" t="s">
        <v>315</v>
      </c>
      <c r="G253" s="2">
        <f t="shared" si="14"/>
        <v>1</v>
      </c>
      <c r="H253" s="2">
        <f t="shared" si="15"/>
        <v>3</v>
      </c>
    </row>
    <row r="254" spans="1:8" x14ac:dyDescent="0.3">
      <c r="A254" s="2" t="s">
        <v>844</v>
      </c>
      <c r="B254" s="17" t="s">
        <v>315</v>
      </c>
      <c r="C254" s="2">
        <f t="shared" si="12"/>
        <v>1</v>
      </c>
      <c r="D254" s="2" t="s">
        <v>320</v>
      </c>
      <c r="E254" s="2">
        <f t="shared" si="13"/>
        <v>1</v>
      </c>
      <c r="F254" s="17" t="s">
        <v>316</v>
      </c>
      <c r="G254" s="2">
        <f t="shared" si="14"/>
        <v>0</v>
      </c>
      <c r="H254" s="2">
        <f t="shared" si="15"/>
        <v>1</v>
      </c>
    </row>
    <row r="255" spans="1:8" x14ac:dyDescent="0.3">
      <c r="A255" s="2" t="s">
        <v>145</v>
      </c>
      <c r="B255" s="17" t="s">
        <v>315</v>
      </c>
      <c r="C255" s="2">
        <f t="shared" si="12"/>
        <v>1</v>
      </c>
      <c r="D255" s="2" t="s">
        <v>320</v>
      </c>
      <c r="E255" s="2">
        <f t="shared" si="13"/>
        <v>1</v>
      </c>
      <c r="F255" s="17" t="s">
        <v>316</v>
      </c>
      <c r="G255" s="2">
        <f t="shared" si="14"/>
        <v>0</v>
      </c>
      <c r="H255" s="2">
        <f t="shared" si="15"/>
        <v>1</v>
      </c>
    </row>
    <row r="256" spans="1:8" x14ac:dyDescent="0.3">
      <c r="A256" s="2" t="s">
        <v>876</v>
      </c>
      <c r="B256" s="17" t="s">
        <v>315</v>
      </c>
      <c r="C256" s="2">
        <f t="shared" si="12"/>
        <v>1</v>
      </c>
      <c r="D256" s="2" t="s">
        <v>317</v>
      </c>
      <c r="E256" s="2">
        <f t="shared" si="13"/>
        <v>2</v>
      </c>
      <c r="F256" s="17" t="s">
        <v>315</v>
      </c>
      <c r="G256" s="2">
        <f t="shared" si="14"/>
        <v>1</v>
      </c>
      <c r="H256" s="2">
        <f t="shared" si="15"/>
        <v>2</v>
      </c>
    </row>
    <row r="257" spans="1:8" x14ac:dyDescent="0.3">
      <c r="A257" s="2" t="s">
        <v>796</v>
      </c>
      <c r="B257" s="17" t="s">
        <v>315</v>
      </c>
      <c r="C257" s="2">
        <f t="shared" si="12"/>
        <v>1</v>
      </c>
      <c r="D257" s="2" t="s">
        <v>318</v>
      </c>
      <c r="E257" s="2">
        <f t="shared" si="13"/>
        <v>3</v>
      </c>
      <c r="F257" s="17" t="s">
        <v>315</v>
      </c>
      <c r="G257" s="2">
        <f t="shared" si="14"/>
        <v>1</v>
      </c>
      <c r="H257" s="2">
        <f t="shared" si="15"/>
        <v>3</v>
      </c>
    </row>
    <row r="258" spans="1:8" x14ac:dyDescent="0.3">
      <c r="A258" s="2" t="s">
        <v>701</v>
      </c>
      <c r="B258" s="17" t="s">
        <v>315</v>
      </c>
      <c r="C258" s="2">
        <f t="shared" ref="C258:C321" si="16">IF(B258="Yes",1,0)</f>
        <v>1</v>
      </c>
      <c r="D258" s="2" t="s">
        <v>319</v>
      </c>
      <c r="E258" s="2">
        <f t="shared" ref="E258:E321" si="17">IF(D258="Needs Improvement",1,IF(D258="Meets Expectations",2,IF(D258="Exceeds Expectations",3,IF(D258="Outstanding",4,"Unknown"))))</f>
        <v>4</v>
      </c>
      <c r="F258" s="17" t="s">
        <v>315</v>
      </c>
      <c r="G258" s="2">
        <f t="shared" ref="G258:G321" si="18">IF(F258="Yes",1,0)</f>
        <v>1</v>
      </c>
      <c r="H258" s="2">
        <f t="shared" si="15"/>
        <v>4</v>
      </c>
    </row>
    <row r="259" spans="1:8" x14ac:dyDescent="0.3">
      <c r="A259" s="2" t="s">
        <v>786</v>
      </c>
      <c r="B259" s="17" t="s">
        <v>315</v>
      </c>
      <c r="C259" s="2">
        <f t="shared" si="16"/>
        <v>1</v>
      </c>
      <c r="D259" s="2" t="s">
        <v>317</v>
      </c>
      <c r="E259" s="2">
        <f t="shared" si="17"/>
        <v>2</v>
      </c>
      <c r="F259" s="17" t="s">
        <v>315</v>
      </c>
      <c r="G259" s="2">
        <f t="shared" si="18"/>
        <v>1</v>
      </c>
      <c r="H259" s="2">
        <f t="shared" ref="H259:H322" si="19">E259*C259</f>
        <v>2</v>
      </c>
    </row>
    <row r="260" spans="1:8" x14ac:dyDescent="0.3">
      <c r="A260" s="2" t="s">
        <v>768</v>
      </c>
      <c r="B260" s="17" t="s">
        <v>315</v>
      </c>
      <c r="C260" s="2">
        <f t="shared" si="16"/>
        <v>1</v>
      </c>
      <c r="D260" s="2" t="s">
        <v>318</v>
      </c>
      <c r="E260" s="2">
        <f t="shared" si="17"/>
        <v>3</v>
      </c>
      <c r="F260" s="17" t="s">
        <v>315</v>
      </c>
      <c r="G260" s="2">
        <f t="shared" si="18"/>
        <v>1</v>
      </c>
      <c r="H260" s="2">
        <f t="shared" si="19"/>
        <v>3</v>
      </c>
    </row>
    <row r="261" spans="1:8" x14ac:dyDescent="0.3">
      <c r="A261" s="2" t="s">
        <v>741</v>
      </c>
      <c r="B261" s="17" t="s">
        <v>315</v>
      </c>
      <c r="C261" s="2">
        <f t="shared" si="16"/>
        <v>1</v>
      </c>
      <c r="D261" s="2" t="s">
        <v>317</v>
      </c>
      <c r="E261" s="2">
        <f t="shared" si="17"/>
        <v>2</v>
      </c>
      <c r="F261" s="17" t="s">
        <v>315</v>
      </c>
      <c r="G261" s="2">
        <f t="shared" si="18"/>
        <v>1</v>
      </c>
      <c r="H261" s="2">
        <f t="shared" si="19"/>
        <v>2</v>
      </c>
    </row>
    <row r="262" spans="1:8" x14ac:dyDescent="0.3">
      <c r="A262" s="2" t="s">
        <v>943</v>
      </c>
      <c r="B262" s="17" t="s">
        <v>315</v>
      </c>
      <c r="C262" s="2">
        <f t="shared" si="16"/>
        <v>1</v>
      </c>
      <c r="D262" s="2" t="s">
        <v>318</v>
      </c>
      <c r="E262" s="2">
        <f t="shared" si="17"/>
        <v>3</v>
      </c>
      <c r="F262" s="17" t="s">
        <v>315</v>
      </c>
      <c r="G262" s="2">
        <f t="shared" si="18"/>
        <v>1</v>
      </c>
      <c r="H262" s="2">
        <f t="shared" si="19"/>
        <v>3</v>
      </c>
    </row>
    <row r="263" spans="1:8" x14ac:dyDescent="0.3">
      <c r="A263" s="2" t="s">
        <v>887</v>
      </c>
      <c r="B263" s="17" t="s">
        <v>315</v>
      </c>
      <c r="C263" s="2">
        <f t="shared" si="16"/>
        <v>1</v>
      </c>
      <c r="D263" s="2" t="s">
        <v>319</v>
      </c>
      <c r="E263" s="2">
        <f t="shared" si="17"/>
        <v>4</v>
      </c>
      <c r="F263" s="17" t="s">
        <v>316</v>
      </c>
      <c r="G263" s="2">
        <f t="shared" si="18"/>
        <v>0</v>
      </c>
      <c r="H263" s="2">
        <f t="shared" si="19"/>
        <v>4</v>
      </c>
    </row>
    <row r="264" spans="1:8" x14ac:dyDescent="0.3">
      <c r="A264" s="2" t="s">
        <v>137</v>
      </c>
      <c r="B264" s="17" t="s">
        <v>315</v>
      </c>
      <c r="C264" s="2">
        <f t="shared" si="16"/>
        <v>1</v>
      </c>
      <c r="D264" s="2" t="s">
        <v>318</v>
      </c>
      <c r="E264" s="2">
        <f t="shared" si="17"/>
        <v>3</v>
      </c>
      <c r="F264" s="17" t="s">
        <v>315</v>
      </c>
      <c r="G264" s="2">
        <f t="shared" si="18"/>
        <v>1</v>
      </c>
      <c r="H264" s="2">
        <f t="shared" si="19"/>
        <v>3</v>
      </c>
    </row>
    <row r="265" spans="1:8" x14ac:dyDescent="0.3">
      <c r="A265" s="2" t="s">
        <v>755</v>
      </c>
      <c r="B265" s="17" t="s">
        <v>315</v>
      </c>
      <c r="C265" s="2">
        <f t="shared" si="16"/>
        <v>1</v>
      </c>
      <c r="D265" s="2" t="s">
        <v>317</v>
      </c>
      <c r="E265" s="2">
        <f t="shared" si="17"/>
        <v>2</v>
      </c>
      <c r="F265" s="17" t="s">
        <v>316</v>
      </c>
      <c r="G265" s="2">
        <f t="shared" si="18"/>
        <v>0</v>
      </c>
      <c r="H265" s="2">
        <f t="shared" si="19"/>
        <v>2</v>
      </c>
    </row>
    <row r="266" spans="1:8" x14ac:dyDescent="0.3">
      <c r="A266" s="2" t="s">
        <v>762</v>
      </c>
      <c r="B266" s="17" t="s">
        <v>315</v>
      </c>
      <c r="C266" s="2">
        <f t="shared" si="16"/>
        <v>1</v>
      </c>
      <c r="D266" s="2" t="s">
        <v>317</v>
      </c>
      <c r="E266" s="2">
        <f t="shared" si="17"/>
        <v>2</v>
      </c>
      <c r="F266" s="17" t="s">
        <v>316</v>
      </c>
      <c r="G266" s="2">
        <f t="shared" si="18"/>
        <v>0</v>
      </c>
      <c r="H266" s="2">
        <f t="shared" si="19"/>
        <v>2</v>
      </c>
    </row>
    <row r="267" spans="1:8" x14ac:dyDescent="0.3">
      <c r="A267" s="2" t="s">
        <v>196</v>
      </c>
      <c r="B267" s="17" t="s">
        <v>315</v>
      </c>
      <c r="C267" s="2">
        <f t="shared" si="16"/>
        <v>1</v>
      </c>
      <c r="D267" s="2" t="s">
        <v>317</v>
      </c>
      <c r="E267" s="2">
        <f t="shared" si="17"/>
        <v>2</v>
      </c>
      <c r="F267" s="17" t="s">
        <v>315</v>
      </c>
      <c r="G267" s="2">
        <f t="shared" si="18"/>
        <v>1</v>
      </c>
      <c r="H267" s="2">
        <f t="shared" si="19"/>
        <v>2</v>
      </c>
    </row>
    <row r="268" spans="1:8" x14ac:dyDescent="0.3">
      <c r="A268" s="2" t="s">
        <v>799</v>
      </c>
      <c r="B268" s="17" t="s">
        <v>315</v>
      </c>
      <c r="C268" s="2">
        <f t="shared" si="16"/>
        <v>1</v>
      </c>
      <c r="D268" s="2" t="s">
        <v>320</v>
      </c>
      <c r="E268" s="2">
        <f t="shared" si="17"/>
        <v>1</v>
      </c>
      <c r="F268" s="17" t="s">
        <v>316</v>
      </c>
      <c r="G268" s="2">
        <f t="shared" si="18"/>
        <v>0</v>
      </c>
      <c r="H268" s="2">
        <f t="shared" si="19"/>
        <v>1</v>
      </c>
    </row>
    <row r="269" spans="1:8" x14ac:dyDescent="0.3">
      <c r="A269" s="2" t="s">
        <v>671</v>
      </c>
      <c r="B269" s="17" t="s">
        <v>315</v>
      </c>
      <c r="C269" s="2">
        <f t="shared" si="16"/>
        <v>1</v>
      </c>
      <c r="D269" s="2" t="s">
        <v>318</v>
      </c>
      <c r="E269" s="2">
        <f t="shared" si="17"/>
        <v>3</v>
      </c>
      <c r="F269" s="17" t="s">
        <v>315</v>
      </c>
      <c r="G269" s="2">
        <f t="shared" si="18"/>
        <v>1</v>
      </c>
      <c r="H269" s="2">
        <f t="shared" si="19"/>
        <v>3</v>
      </c>
    </row>
    <row r="270" spans="1:8" x14ac:dyDescent="0.3">
      <c r="A270" s="2" t="s">
        <v>162</v>
      </c>
      <c r="B270" s="17" t="s">
        <v>315</v>
      </c>
      <c r="C270" s="2">
        <f t="shared" si="16"/>
        <v>1</v>
      </c>
      <c r="D270" s="2" t="s">
        <v>319</v>
      </c>
      <c r="E270" s="2">
        <f t="shared" si="17"/>
        <v>4</v>
      </c>
      <c r="F270" s="17" t="s">
        <v>316</v>
      </c>
      <c r="G270" s="2">
        <f t="shared" si="18"/>
        <v>0</v>
      </c>
      <c r="H270" s="2">
        <f t="shared" si="19"/>
        <v>4</v>
      </c>
    </row>
    <row r="271" spans="1:8" x14ac:dyDescent="0.3">
      <c r="A271" s="2" t="s">
        <v>924</v>
      </c>
      <c r="B271" s="17" t="s">
        <v>315</v>
      </c>
      <c r="C271" s="2">
        <f t="shared" si="16"/>
        <v>1</v>
      </c>
      <c r="D271" s="2" t="s">
        <v>318</v>
      </c>
      <c r="E271" s="2">
        <f t="shared" si="17"/>
        <v>3</v>
      </c>
      <c r="F271" s="17" t="s">
        <v>316</v>
      </c>
      <c r="G271" s="2">
        <f t="shared" si="18"/>
        <v>0</v>
      </c>
      <c r="H271" s="2">
        <f t="shared" si="19"/>
        <v>3</v>
      </c>
    </row>
    <row r="272" spans="1:8" x14ac:dyDescent="0.3">
      <c r="A272" s="2" t="s">
        <v>941</v>
      </c>
      <c r="B272" s="17" t="s">
        <v>315</v>
      </c>
      <c r="C272" s="2">
        <f t="shared" si="16"/>
        <v>1</v>
      </c>
      <c r="D272" s="2" t="s">
        <v>319</v>
      </c>
      <c r="E272" s="2">
        <f t="shared" si="17"/>
        <v>4</v>
      </c>
      <c r="F272" s="17" t="s">
        <v>316</v>
      </c>
      <c r="G272" s="2">
        <f t="shared" si="18"/>
        <v>0</v>
      </c>
      <c r="H272" s="2">
        <f t="shared" si="19"/>
        <v>4</v>
      </c>
    </row>
    <row r="273" spans="1:8" x14ac:dyDescent="0.3">
      <c r="A273" s="2" t="s">
        <v>816</v>
      </c>
      <c r="B273" s="17" t="s">
        <v>315</v>
      </c>
      <c r="C273" s="2">
        <f t="shared" si="16"/>
        <v>1</v>
      </c>
      <c r="D273" s="2" t="s">
        <v>320</v>
      </c>
      <c r="E273" s="2">
        <f t="shared" si="17"/>
        <v>1</v>
      </c>
      <c r="F273" s="17" t="s">
        <v>316</v>
      </c>
      <c r="G273" s="2">
        <f t="shared" si="18"/>
        <v>0</v>
      </c>
      <c r="H273" s="2">
        <f t="shared" si="19"/>
        <v>1</v>
      </c>
    </row>
    <row r="274" spans="1:8" x14ac:dyDescent="0.3">
      <c r="A274" s="2" t="s">
        <v>767</v>
      </c>
      <c r="B274" s="17" t="s">
        <v>315</v>
      </c>
      <c r="C274" s="2">
        <f t="shared" si="16"/>
        <v>1</v>
      </c>
      <c r="D274" s="2" t="s">
        <v>319</v>
      </c>
      <c r="E274" s="2">
        <f t="shared" si="17"/>
        <v>4</v>
      </c>
      <c r="F274" s="17" t="s">
        <v>315</v>
      </c>
      <c r="G274" s="2">
        <f t="shared" si="18"/>
        <v>1</v>
      </c>
      <c r="H274" s="2">
        <f t="shared" si="19"/>
        <v>4</v>
      </c>
    </row>
    <row r="275" spans="1:8" x14ac:dyDescent="0.3">
      <c r="A275" s="2" t="s">
        <v>734</v>
      </c>
      <c r="B275" s="17" t="s">
        <v>315</v>
      </c>
      <c r="C275" s="2">
        <f t="shared" si="16"/>
        <v>1</v>
      </c>
      <c r="D275" s="2" t="s">
        <v>320</v>
      </c>
      <c r="E275" s="2">
        <f t="shared" si="17"/>
        <v>1</v>
      </c>
      <c r="F275" s="17" t="s">
        <v>315</v>
      </c>
      <c r="G275" s="2">
        <f t="shared" si="18"/>
        <v>1</v>
      </c>
      <c r="H275" s="2">
        <f t="shared" si="19"/>
        <v>1</v>
      </c>
    </row>
    <row r="276" spans="1:8" x14ac:dyDescent="0.3">
      <c r="A276" s="2" t="s">
        <v>695</v>
      </c>
      <c r="B276" s="17" t="s">
        <v>315</v>
      </c>
      <c r="C276" s="2">
        <f t="shared" si="16"/>
        <v>1</v>
      </c>
      <c r="D276" s="2" t="s">
        <v>318</v>
      </c>
      <c r="E276" s="2">
        <f t="shared" si="17"/>
        <v>3</v>
      </c>
      <c r="F276" s="17" t="s">
        <v>315</v>
      </c>
      <c r="G276" s="2">
        <f t="shared" si="18"/>
        <v>1</v>
      </c>
      <c r="H276" s="2">
        <f t="shared" si="19"/>
        <v>3</v>
      </c>
    </row>
    <row r="277" spans="1:8" x14ac:dyDescent="0.3">
      <c r="A277" s="2" t="s">
        <v>866</v>
      </c>
      <c r="B277" s="17" t="s">
        <v>315</v>
      </c>
      <c r="C277" s="2">
        <f t="shared" si="16"/>
        <v>1</v>
      </c>
      <c r="D277" s="2" t="s">
        <v>317</v>
      </c>
      <c r="E277" s="2">
        <f t="shared" si="17"/>
        <v>2</v>
      </c>
      <c r="F277" s="17" t="s">
        <v>316</v>
      </c>
      <c r="G277" s="2">
        <f t="shared" si="18"/>
        <v>0</v>
      </c>
      <c r="H277" s="2">
        <f t="shared" si="19"/>
        <v>2</v>
      </c>
    </row>
    <row r="278" spans="1:8" x14ac:dyDescent="0.3">
      <c r="A278" s="2" t="s">
        <v>925</v>
      </c>
      <c r="B278" s="17" t="s">
        <v>315</v>
      </c>
      <c r="C278" s="2">
        <f t="shared" si="16"/>
        <v>1</v>
      </c>
      <c r="D278" s="2" t="s">
        <v>318</v>
      </c>
      <c r="E278" s="2">
        <f t="shared" si="17"/>
        <v>3</v>
      </c>
      <c r="F278" s="17" t="s">
        <v>315</v>
      </c>
      <c r="G278" s="2">
        <f t="shared" si="18"/>
        <v>1</v>
      </c>
      <c r="H278" s="2">
        <f t="shared" si="19"/>
        <v>3</v>
      </c>
    </row>
    <row r="279" spans="1:8" x14ac:dyDescent="0.3">
      <c r="A279" s="2" t="s">
        <v>229</v>
      </c>
      <c r="B279" s="17" t="s">
        <v>315</v>
      </c>
      <c r="C279" s="2">
        <f t="shared" si="16"/>
        <v>1</v>
      </c>
      <c r="D279" s="2" t="s">
        <v>318</v>
      </c>
      <c r="E279" s="2">
        <f t="shared" si="17"/>
        <v>3</v>
      </c>
      <c r="F279" s="17" t="s">
        <v>316</v>
      </c>
      <c r="G279" s="2">
        <f t="shared" si="18"/>
        <v>0</v>
      </c>
      <c r="H279" s="2">
        <f t="shared" si="19"/>
        <v>3</v>
      </c>
    </row>
    <row r="280" spans="1:8" x14ac:dyDescent="0.3">
      <c r="A280" s="2" t="s">
        <v>782</v>
      </c>
      <c r="B280" s="17" t="s">
        <v>315</v>
      </c>
      <c r="C280" s="2">
        <f t="shared" si="16"/>
        <v>1</v>
      </c>
      <c r="D280" s="2" t="s">
        <v>318</v>
      </c>
      <c r="E280" s="2">
        <f t="shared" si="17"/>
        <v>3</v>
      </c>
      <c r="F280" s="17" t="s">
        <v>316</v>
      </c>
      <c r="G280" s="2">
        <f t="shared" si="18"/>
        <v>0</v>
      </c>
      <c r="H280" s="2">
        <f t="shared" si="19"/>
        <v>3</v>
      </c>
    </row>
    <row r="281" spans="1:8" x14ac:dyDescent="0.3">
      <c r="A281" s="2" t="s">
        <v>788</v>
      </c>
      <c r="B281" s="17" t="s">
        <v>315</v>
      </c>
      <c r="C281" s="2">
        <f t="shared" si="16"/>
        <v>1</v>
      </c>
      <c r="D281" s="2" t="s">
        <v>317</v>
      </c>
      <c r="E281" s="2">
        <f t="shared" si="17"/>
        <v>2</v>
      </c>
      <c r="F281" s="17" t="s">
        <v>316</v>
      </c>
      <c r="G281" s="2">
        <f t="shared" si="18"/>
        <v>0</v>
      </c>
      <c r="H281" s="2">
        <f t="shared" si="19"/>
        <v>2</v>
      </c>
    </row>
    <row r="282" spans="1:8" x14ac:dyDescent="0.3">
      <c r="A282" s="2" t="s">
        <v>1114</v>
      </c>
      <c r="B282" s="17" t="s">
        <v>315</v>
      </c>
      <c r="C282" s="2">
        <f t="shared" si="16"/>
        <v>1</v>
      </c>
      <c r="D282" s="2" t="s">
        <v>319</v>
      </c>
      <c r="E282" s="2">
        <f t="shared" si="17"/>
        <v>4</v>
      </c>
      <c r="F282" s="17" t="s">
        <v>315</v>
      </c>
      <c r="G282" s="2">
        <f t="shared" si="18"/>
        <v>1</v>
      </c>
      <c r="H282" s="2">
        <f t="shared" si="19"/>
        <v>4</v>
      </c>
    </row>
    <row r="283" spans="1:8" x14ac:dyDescent="0.3">
      <c r="A283" s="2" t="s">
        <v>208</v>
      </c>
      <c r="B283" s="17" t="s">
        <v>315</v>
      </c>
      <c r="C283" s="2">
        <f t="shared" si="16"/>
        <v>1</v>
      </c>
      <c r="D283" s="2" t="s">
        <v>319</v>
      </c>
      <c r="E283" s="2">
        <f t="shared" si="17"/>
        <v>4</v>
      </c>
      <c r="F283" s="17" t="s">
        <v>315</v>
      </c>
      <c r="G283" s="2">
        <f t="shared" si="18"/>
        <v>1</v>
      </c>
      <c r="H283" s="2">
        <f t="shared" si="19"/>
        <v>4</v>
      </c>
    </row>
    <row r="284" spans="1:8" x14ac:dyDescent="0.3">
      <c r="A284" s="2" t="s">
        <v>949</v>
      </c>
      <c r="B284" s="17" t="s">
        <v>315</v>
      </c>
      <c r="C284" s="2">
        <f t="shared" si="16"/>
        <v>1</v>
      </c>
      <c r="D284" s="2" t="s">
        <v>317</v>
      </c>
      <c r="E284" s="2">
        <f t="shared" si="17"/>
        <v>2</v>
      </c>
      <c r="F284" s="17" t="s">
        <v>316</v>
      </c>
      <c r="G284" s="2">
        <f t="shared" si="18"/>
        <v>0</v>
      </c>
      <c r="H284" s="2">
        <f t="shared" si="19"/>
        <v>2</v>
      </c>
    </row>
    <row r="285" spans="1:8" x14ac:dyDescent="0.3">
      <c r="A285" s="2" t="s">
        <v>182</v>
      </c>
      <c r="B285" s="17" t="s">
        <v>315</v>
      </c>
      <c r="C285" s="2">
        <f t="shared" si="16"/>
        <v>1</v>
      </c>
      <c r="D285" s="2" t="s">
        <v>319</v>
      </c>
      <c r="E285" s="2">
        <f t="shared" si="17"/>
        <v>4</v>
      </c>
      <c r="F285" s="17" t="s">
        <v>315</v>
      </c>
      <c r="G285" s="2">
        <f t="shared" si="18"/>
        <v>1</v>
      </c>
      <c r="H285" s="2">
        <f t="shared" si="19"/>
        <v>4</v>
      </c>
    </row>
    <row r="286" spans="1:8" x14ac:dyDescent="0.3">
      <c r="A286" s="2" t="s">
        <v>662</v>
      </c>
      <c r="B286" s="17" t="s">
        <v>315</v>
      </c>
      <c r="C286" s="2">
        <f t="shared" si="16"/>
        <v>1</v>
      </c>
      <c r="D286" s="2" t="s">
        <v>317</v>
      </c>
      <c r="E286" s="2">
        <f t="shared" si="17"/>
        <v>2</v>
      </c>
      <c r="F286" s="17" t="s">
        <v>315</v>
      </c>
      <c r="G286" s="2">
        <f t="shared" si="18"/>
        <v>1</v>
      </c>
      <c r="H286" s="2">
        <f t="shared" si="19"/>
        <v>2</v>
      </c>
    </row>
    <row r="287" spans="1:8" x14ac:dyDescent="0.3">
      <c r="A287" s="2" t="s">
        <v>946</v>
      </c>
      <c r="B287" s="17" t="s">
        <v>315</v>
      </c>
      <c r="C287" s="2">
        <f t="shared" si="16"/>
        <v>1</v>
      </c>
      <c r="D287" s="2" t="s">
        <v>320</v>
      </c>
      <c r="E287" s="2">
        <f t="shared" si="17"/>
        <v>1</v>
      </c>
      <c r="F287" s="17" t="s">
        <v>316</v>
      </c>
      <c r="G287" s="2">
        <f t="shared" si="18"/>
        <v>0</v>
      </c>
      <c r="H287" s="2">
        <f t="shared" si="19"/>
        <v>1</v>
      </c>
    </row>
    <row r="288" spans="1:8" x14ac:dyDescent="0.3">
      <c r="A288" s="2" t="s">
        <v>944</v>
      </c>
      <c r="B288" s="17" t="s">
        <v>315</v>
      </c>
      <c r="C288" s="2">
        <f t="shared" si="16"/>
        <v>1</v>
      </c>
      <c r="D288" s="2" t="s">
        <v>317</v>
      </c>
      <c r="E288" s="2">
        <f t="shared" si="17"/>
        <v>2</v>
      </c>
      <c r="F288" s="17" t="s">
        <v>316</v>
      </c>
      <c r="G288" s="2">
        <f t="shared" si="18"/>
        <v>0</v>
      </c>
      <c r="H288" s="2">
        <f t="shared" si="19"/>
        <v>2</v>
      </c>
    </row>
    <row r="289" spans="1:8" x14ac:dyDescent="0.3">
      <c r="A289" s="2" t="s">
        <v>733</v>
      </c>
      <c r="B289" s="17" t="s">
        <v>315</v>
      </c>
      <c r="C289" s="2">
        <f t="shared" si="16"/>
        <v>1</v>
      </c>
      <c r="D289" s="2" t="s">
        <v>317</v>
      </c>
      <c r="E289" s="2">
        <f t="shared" si="17"/>
        <v>2</v>
      </c>
      <c r="F289" s="17" t="s">
        <v>315</v>
      </c>
      <c r="G289" s="2">
        <f t="shared" si="18"/>
        <v>1</v>
      </c>
      <c r="H289" s="2">
        <f t="shared" si="19"/>
        <v>2</v>
      </c>
    </row>
    <row r="290" spans="1:8" x14ac:dyDescent="0.3">
      <c r="A290" s="2" t="s">
        <v>834</v>
      </c>
      <c r="B290" s="17" t="s">
        <v>315</v>
      </c>
      <c r="C290" s="2">
        <f t="shared" si="16"/>
        <v>1</v>
      </c>
      <c r="D290" s="2" t="s">
        <v>320</v>
      </c>
      <c r="E290" s="2">
        <f t="shared" si="17"/>
        <v>1</v>
      </c>
      <c r="F290" s="17" t="s">
        <v>316</v>
      </c>
      <c r="G290" s="2">
        <f t="shared" si="18"/>
        <v>0</v>
      </c>
      <c r="H290" s="2">
        <f t="shared" si="19"/>
        <v>1</v>
      </c>
    </row>
    <row r="291" spans="1:8" x14ac:dyDescent="0.3">
      <c r="A291" s="2" t="s">
        <v>938</v>
      </c>
      <c r="B291" s="17" t="s">
        <v>315</v>
      </c>
      <c r="C291" s="2">
        <f t="shared" si="16"/>
        <v>1</v>
      </c>
      <c r="D291" s="2" t="s">
        <v>320</v>
      </c>
      <c r="E291" s="2">
        <f t="shared" si="17"/>
        <v>1</v>
      </c>
      <c r="F291" s="17" t="s">
        <v>315</v>
      </c>
      <c r="G291" s="2">
        <f t="shared" si="18"/>
        <v>1</v>
      </c>
      <c r="H291" s="2">
        <f t="shared" si="19"/>
        <v>1</v>
      </c>
    </row>
    <row r="292" spans="1:8" x14ac:dyDescent="0.3">
      <c r="A292" s="2" t="s">
        <v>851</v>
      </c>
      <c r="B292" s="17" t="s">
        <v>315</v>
      </c>
      <c r="C292" s="2">
        <f t="shared" si="16"/>
        <v>1</v>
      </c>
      <c r="D292" s="2" t="s">
        <v>317</v>
      </c>
      <c r="E292" s="2">
        <f t="shared" si="17"/>
        <v>2</v>
      </c>
      <c r="F292" s="17" t="s">
        <v>315</v>
      </c>
      <c r="G292" s="2">
        <f t="shared" si="18"/>
        <v>1</v>
      </c>
      <c r="H292" s="2">
        <f t="shared" si="19"/>
        <v>2</v>
      </c>
    </row>
    <row r="293" spans="1:8" x14ac:dyDescent="0.3">
      <c r="A293" s="2" t="s">
        <v>720</v>
      </c>
      <c r="B293" s="17" t="s">
        <v>315</v>
      </c>
      <c r="C293" s="2">
        <f t="shared" si="16"/>
        <v>1</v>
      </c>
      <c r="D293" s="2" t="s">
        <v>319</v>
      </c>
      <c r="E293" s="2">
        <f t="shared" si="17"/>
        <v>4</v>
      </c>
      <c r="F293" s="17" t="s">
        <v>316</v>
      </c>
      <c r="G293" s="2">
        <f t="shared" si="18"/>
        <v>0</v>
      </c>
      <c r="H293" s="2">
        <f t="shared" si="19"/>
        <v>4</v>
      </c>
    </row>
    <row r="294" spans="1:8" x14ac:dyDescent="0.3">
      <c r="A294" s="2" t="s">
        <v>913</v>
      </c>
      <c r="B294" s="17" t="s">
        <v>315</v>
      </c>
      <c r="C294" s="2">
        <f t="shared" si="16"/>
        <v>1</v>
      </c>
      <c r="D294" s="2" t="s">
        <v>320</v>
      </c>
      <c r="E294" s="2">
        <f t="shared" si="17"/>
        <v>1</v>
      </c>
      <c r="F294" s="17" t="s">
        <v>315</v>
      </c>
      <c r="G294" s="2">
        <f t="shared" si="18"/>
        <v>1</v>
      </c>
      <c r="H294" s="2">
        <f t="shared" si="19"/>
        <v>1</v>
      </c>
    </row>
    <row r="295" spans="1:8" x14ac:dyDescent="0.3">
      <c r="A295" s="2" t="s">
        <v>777</v>
      </c>
      <c r="B295" s="17" t="s">
        <v>315</v>
      </c>
      <c r="C295" s="2">
        <f t="shared" si="16"/>
        <v>1</v>
      </c>
      <c r="D295" s="2" t="s">
        <v>318</v>
      </c>
      <c r="E295" s="2">
        <f t="shared" si="17"/>
        <v>3</v>
      </c>
      <c r="F295" s="17" t="s">
        <v>316</v>
      </c>
      <c r="G295" s="2">
        <f t="shared" si="18"/>
        <v>0</v>
      </c>
      <c r="H295" s="2">
        <f t="shared" si="19"/>
        <v>3</v>
      </c>
    </row>
    <row r="296" spans="1:8" x14ac:dyDescent="0.3">
      <c r="A296" s="2" t="s">
        <v>773</v>
      </c>
      <c r="B296" s="17" t="s">
        <v>315</v>
      </c>
      <c r="C296" s="2">
        <f t="shared" si="16"/>
        <v>1</v>
      </c>
      <c r="D296" s="2" t="s">
        <v>318</v>
      </c>
      <c r="E296" s="2">
        <f t="shared" si="17"/>
        <v>3</v>
      </c>
      <c r="F296" s="17" t="s">
        <v>315</v>
      </c>
      <c r="G296" s="2">
        <f t="shared" si="18"/>
        <v>1</v>
      </c>
      <c r="H296" s="2">
        <f t="shared" si="19"/>
        <v>3</v>
      </c>
    </row>
    <row r="297" spans="1:8" x14ac:dyDescent="0.3">
      <c r="A297" s="2" t="s">
        <v>194</v>
      </c>
      <c r="B297" s="17" t="s">
        <v>315</v>
      </c>
      <c r="C297" s="2">
        <f t="shared" si="16"/>
        <v>1</v>
      </c>
      <c r="D297" s="2" t="s">
        <v>317</v>
      </c>
      <c r="E297" s="2">
        <f t="shared" si="17"/>
        <v>2</v>
      </c>
      <c r="F297" s="17" t="s">
        <v>316</v>
      </c>
      <c r="G297" s="2">
        <f t="shared" si="18"/>
        <v>0</v>
      </c>
      <c r="H297" s="2">
        <f t="shared" si="19"/>
        <v>2</v>
      </c>
    </row>
    <row r="298" spans="1:8" x14ac:dyDescent="0.3">
      <c r="A298" s="2" t="s">
        <v>230</v>
      </c>
      <c r="B298" s="17" t="s">
        <v>315</v>
      </c>
      <c r="C298" s="2">
        <f t="shared" si="16"/>
        <v>1</v>
      </c>
      <c r="D298" s="2" t="s">
        <v>319</v>
      </c>
      <c r="E298" s="2">
        <f t="shared" si="17"/>
        <v>4</v>
      </c>
      <c r="F298" s="17" t="s">
        <v>315</v>
      </c>
      <c r="G298" s="2">
        <f t="shared" si="18"/>
        <v>1</v>
      </c>
      <c r="H298" s="2">
        <f t="shared" si="19"/>
        <v>4</v>
      </c>
    </row>
    <row r="299" spans="1:8" x14ac:dyDescent="0.3">
      <c r="A299" s="2" t="s">
        <v>772</v>
      </c>
      <c r="B299" s="17" t="s">
        <v>315</v>
      </c>
      <c r="C299" s="2">
        <f t="shared" si="16"/>
        <v>1</v>
      </c>
      <c r="D299" s="2" t="s">
        <v>320</v>
      </c>
      <c r="E299" s="2">
        <f t="shared" si="17"/>
        <v>1</v>
      </c>
      <c r="F299" s="17" t="s">
        <v>315</v>
      </c>
      <c r="G299" s="2">
        <f t="shared" si="18"/>
        <v>1</v>
      </c>
      <c r="H299" s="2">
        <f t="shared" si="19"/>
        <v>1</v>
      </c>
    </row>
    <row r="300" spans="1:8" x14ac:dyDescent="0.3">
      <c r="A300" s="2" t="s">
        <v>209</v>
      </c>
      <c r="B300" s="17" t="s">
        <v>315</v>
      </c>
      <c r="C300" s="2">
        <f t="shared" si="16"/>
        <v>1</v>
      </c>
      <c r="D300" s="2" t="s">
        <v>319</v>
      </c>
      <c r="E300" s="2">
        <f t="shared" si="17"/>
        <v>4</v>
      </c>
      <c r="F300" s="17" t="s">
        <v>316</v>
      </c>
      <c r="G300" s="2">
        <f t="shared" si="18"/>
        <v>0</v>
      </c>
      <c r="H300" s="2">
        <f t="shared" si="19"/>
        <v>4</v>
      </c>
    </row>
    <row r="301" spans="1:8" x14ac:dyDescent="0.3">
      <c r="A301" s="2" t="s">
        <v>731</v>
      </c>
      <c r="B301" s="17" t="s">
        <v>315</v>
      </c>
      <c r="C301" s="2">
        <f t="shared" si="16"/>
        <v>1</v>
      </c>
      <c r="D301" s="2" t="s">
        <v>320</v>
      </c>
      <c r="E301" s="2">
        <f t="shared" si="17"/>
        <v>1</v>
      </c>
      <c r="F301" s="17" t="s">
        <v>315</v>
      </c>
      <c r="G301" s="2">
        <f t="shared" si="18"/>
        <v>1</v>
      </c>
      <c r="H301" s="2">
        <f t="shared" si="19"/>
        <v>1</v>
      </c>
    </row>
    <row r="302" spans="1:8" x14ac:dyDescent="0.3">
      <c r="A302" s="2" t="s">
        <v>801</v>
      </c>
      <c r="B302" s="17" t="s">
        <v>315</v>
      </c>
      <c r="C302" s="2">
        <f t="shared" si="16"/>
        <v>1</v>
      </c>
      <c r="D302" s="2" t="s">
        <v>319</v>
      </c>
      <c r="E302" s="2">
        <f t="shared" si="17"/>
        <v>4</v>
      </c>
      <c r="F302" s="17" t="s">
        <v>315</v>
      </c>
      <c r="G302" s="2">
        <f t="shared" si="18"/>
        <v>1</v>
      </c>
      <c r="H302" s="2">
        <f t="shared" si="19"/>
        <v>4</v>
      </c>
    </row>
    <row r="303" spans="1:8" x14ac:dyDescent="0.3">
      <c r="A303" s="2" t="s">
        <v>883</v>
      </c>
      <c r="B303" s="17" t="s">
        <v>315</v>
      </c>
      <c r="C303" s="2">
        <f t="shared" si="16"/>
        <v>1</v>
      </c>
      <c r="D303" s="2" t="s">
        <v>320</v>
      </c>
      <c r="E303" s="2">
        <f t="shared" si="17"/>
        <v>1</v>
      </c>
      <c r="F303" s="17" t="s">
        <v>315</v>
      </c>
      <c r="G303" s="2">
        <f t="shared" si="18"/>
        <v>1</v>
      </c>
      <c r="H303" s="2">
        <f t="shared" si="19"/>
        <v>1</v>
      </c>
    </row>
    <row r="304" spans="1:8" x14ac:dyDescent="0.3">
      <c r="A304" s="2" t="s">
        <v>159</v>
      </c>
      <c r="B304" s="17" t="s">
        <v>315</v>
      </c>
      <c r="C304" s="2">
        <f t="shared" si="16"/>
        <v>1</v>
      </c>
      <c r="D304" s="2" t="s">
        <v>317</v>
      </c>
      <c r="E304" s="2">
        <f t="shared" si="17"/>
        <v>2</v>
      </c>
      <c r="F304" s="17" t="s">
        <v>315</v>
      </c>
      <c r="G304" s="2">
        <f t="shared" si="18"/>
        <v>1</v>
      </c>
      <c r="H304" s="2">
        <f t="shared" si="19"/>
        <v>2</v>
      </c>
    </row>
    <row r="305" spans="1:8" x14ac:dyDescent="0.3">
      <c r="A305" s="2" t="s">
        <v>916</v>
      </c>
      <c r="B305" s="17" t="s">
        <v>315</v>
      </c>
      <c r="C305" s="2">
        <f t="shared" si="16"/>
        <v>1</v>
      </c>
      <c r="D305" s="2" t="s">
        <v>319</v>
      </c>
      <c r="E305" s="2">
        <f t="shared" si="17"/>
        <v>4</v>
      </c>
      <c r="F305" s="17" t="s">
        <v>316</v>
      </c>
      <c r="G305" s="2">
        <f t="shared" si="18"/>
        <v>0</v>
      </c>
      <c r="H305" s="2">
        <f t="shared" si="19"/>
        <v>4</v>
      </c>
    </row>
    <row r="306" spans="1:8" x14ac:dyDescent="0.3">
      <c r="A306" s="2" t="s">
        <v>848</v>
      </c>
      <c r="B306" s="17" t="s">
        <v>315</v>
      </c>
      <c r="C306" s="2">
        <f t="shared" si="16"/>
        <v>1</v>
      </c>
      <c r="D306" s="2" t="s">
        <v>319</v>
      </c>
      <c r="E306" s="2">
        <f t="shared" si="17"/>
        <v>4</v>
      </c>
      <c r="F306" s="17" t="s">
        <v>315</v>
      </c>
      <c r="G306" s="2">
        <f t="shared" si="18"/>
        <v>1</v>
      </c>
      <c r="H306" s="2">
        <f t="shared" si="19"/>
        <v>4</v>
      </c>
    </row>
    <row r="307" spans="1:8" x14ac:dyDescent="0.3">
      <c r="A307" s="2" t="s">
        <v>766</v>
      </c>
      <c r="B307" s="17" t="s">
        <v>315</v>
      </c>
      <c r="C307" s="2">
        <f t="shared" si="16"/>
        <v>1</v>
      </c>
      <c r="D307" s="2" t="s">
        <v>319</v>
      </c>
      <c r="E307" s="2">
        <f t="shared" si="17"/>
        <v>4</v>
      </c>
      <c r="F307" s="17" t="s">
        <v>315</v>
      </c>
      <c r="G307" s="2">
        <f t="shared" si="18"/>
        <v>1</v>
      </c>
      <c r="H307" s="2">
        <f t="shared" si="19"/>
        <v>4</v>
      </c>
    </row>
    <row r="308" spans="1:8" x14ac:dyDescent="0.3">
      <c r="A308" s="2" t="s">
        <v>764</v>
      </c>
      <c r="B308" s="17" t="s">
        <v>315</v>
      </c>
      <c r="C308" s="2">
        <f t="shared" si="16"/>
        <v>1</v>
      </c>
      <c r="D308" s="2" t="s">
        <v>319</v>
      </c>
      <c r="E308" s="2">
        <f t="shared" si="17"/>
        <v>4</v>
      </c>
      <c r="F308" s="17" t="s">
        <v>316</v>
      </c>
      <c r="G308" s="2">
        <f t="shared" si="18"/>
        <v>0</v>
      </c>
      <c r="H308" s="2">
        <f t="shared" si="19"/>
        <v>4</v>
      </c>
    </row>
    <row r="309" spans="1:8" x14ac:dyDescent="0.3">
      <c r="A309" s="2" t="s">
        <v>901</v>
      </c>
      <c r="B309" s="17" t="s">
        <v>315</v>
      </c>
      <c r="C309" s="2">
        <f t="shared" si="16"/>
        <v>1</v>
      </c>
      <c r="D309" s="2" t="s">
        <v>318</v>
      </c>
      <c r="E309" s="2">
        <f t="shared" si="17"/>
        <v>3</v>
      </c>
      <c r="F309" s="17" t="s">
        <v>315</v>
      </c>
      <c r="G309" s="2">
        <f t="shared" si="18"/>
        <v>1</v>
      </c>
      <c r="H309" s="2">
        <f t="shared" si="19"/>
        <v>3</v>
      </c>
    </row>
    <row r="310" spans="1:8" x14ac:dyDescent="0.3">
      <c r="A310" s="2" t="s">
        <v>795</v>
      </c>
      <c r="B310" s="17" t="s">
        <v>315</v>
      </c>
      <c r="C310" s="2">
        <f t="shared" si="16"/>
        <v>1</v>
      </c>
      <c r="D310" s="2" t="s">
        <v>320</v>
      </c>
      <c r="E310" s="2">
        <f t="shared" si="17"/>
        <v>1</v>
      </c>
      <c r="F310" s="17" t="s">
        <v>316</v>
      </c>
      <c r="G310" s="2">
        <f t="shared" si="18"/>
        <v>0</v>
      </c>
      <c r="H310" s="2">
        <f t="shared" si="19"/>
        <v>1</v>
      </c>
    </row>
    <row r="311" spans="1:8" x14ac:dyDescent="0.3">
      <c r="A311" s="2" t="s">
        <v>763</v>
      </c>
      <c r="B311" s="17" t="s">
        <v>315</v>
      </c>
      <c r="C311" s="2">
        <f t="shared" si="16"/>
        <v>1</v>
      </c>
      <c r="D311" s="2" t="s">
        <v>317</v>
      </c>
      <c r="E311" s="2">
        <f t="shared" si="17"/>
        <v>2</v>
      </c>
      <c r="F311" s="17" t="s">
        <v>315</v>
      </c>
      <c r="G311" s="2">
        <f t="shared" si="18"/>
        <v>1</v>
      </c>
      <c r="H311" s="2">
        <f t="shared" si="19"/>
        <v>2</v>
      </c>
    </row>
    <row r="312" spans="1:8" x14ac:dyDescent="0.3">
      <c r="A312" s="2" t="s">
        <v>694</v>
      </c>
      <c r="B312" s="17" t="s">
        <v>315</v>
      </c>
      <c r="C312" s="2">
        <f t="shared" si="16"/>
        <v>1</v>
      </c>
      <c r="D312" s="2" t="s">
        <v>320</v>
      </c>
      <c r="E312" s="2">
        <f t="shared" si="17"/>
        <v>1</v>
      </c>
      <c r="F312" s="17" t="s">
        <v>316</v>
      </c>
      <c r="G312" s="2">
        <f t="shared" si="18"/>
        <v>0</v>
      </c>
      <c r="H312" s="2">
        <f t="shared" si="19"/>
        <v>1</v>
      </c>
    </row>
    <row r="313" spans="1:8" x14ac:dyDescent="0.3">
      <c r="A313" s="2" t="s">
        <v>716</v>
      </c>
      <c r="B313" s="17" t="s">
        <v>315</v>
      </c>
      <c r="C313" s="2">
        <f t="shared" si="16"/>
        <v>1</v>
      </c>
      <c r="D313" s="2" t="s">
        <v>320</v>
      </c>
      <c r="E313" s="2">
        <f t="shared" si="17"/>
        <v>1</v>
      </c>
      <c r="F313" s="17" t="s">
        <v>315</v>
      </c>
      <c r="G313" s="2">
        <f t="shared" si="18"/>
        <v>1</v>
      </c>
      <c r="H313" s="2">
        <f t="shared" si="19"/>
        <v>1</v>
      </c>
    </row>
    <row r="314" spans="1:8" x14ac:dyDescent="0.3">
      <c r="A314" s="2" t="s">
        <v>831</v>
      </c>
      <c r="B314" s="17" t="s">
        <v>315</v>
      </c>
      <c r="C314" s="2">
        <f t="shared" si="16"/>
        <v>1</v>
      </c>
      <c r="D314" s="2" t="s">
        <v>317</v>
      </c>
      <c r="E314" s="2">
        <f t="shared" si="17"/>
        <v>2</v>
      </c>
      <c r="F314" s="17" t="s">
        <v>315</v>
      </c>
      <c r="G314" s="2">
        <f t="shared" si="18"/>
        <v>1</v>
      </c>
      <c r="H314" s="2">
        <f t="shared" si="19"/>
        <v>2</v>
      </c>
    </row>
    <row r="315" spans="1:8" x14ac:dyDescent="0.3">
      <c r="A315" s="2" t="s">
        <v>821</v>
      </c>
      <c r="B315" s="17" t="s">
        <v>315</v>
      </c>
      <c r="C315" s="2">
        <f t="shared" si="16"/>
        <v>1</v>
      </c>
      <c r="D315" s="2" t="s">
        <v>317</v>
      </c>
      <c r="E315" s="2">
        <f t="shared" si="17"/>
        <v>2</v>
      </c>
      <c r="F315" s="17" t="s">
        <v>315</v>
      </c>
      <c r="G315" s="2">
        <f t="shared" si="18"/>
        <v>1</v>
      </c>
      <c r="H315" s="2">
        <f t="shared" si="19"/>
        <v>2</v>
      </c>
    </row>
    <row r="316" spans="1:8" x14ac:dyDescent="0.3">
      <c r="A316" s="2" t="s">
        <v>813</v>
      </c>
      <c r="B316" s="17" t="s">
        <v>315</v>
      </c>
      <c r="C316" s="2">
        <f t="shared" si="16"/>
        <v>1</v>
      </c>
      <c r="D316" s="2" t="s">
        <v>320</v>
      </c>
      <c r="E316" s="2">
        <f t="shared" si="17"/>
        <v>1</v>
      </c>
      <c r="F316" s="17" t="s">
        <v>315</v>
      </c>
      <c r="G316" s="2">
        <f t="shared" si="18"/>
        <v>1</v>
      </c>
      <c r="H316" s="2">
        <f t="shared" si="19"/>
        <v>1</v>
      </c>
    </row>
    <row r="317" spans="1:8" x14ac:dyDescent="0.3">
      <c r="A317" s="2" t="s">
        <v>160</v>
      </c>
      <c r="B317" s="17" t="s">
        <v>315</v>
      </c>
      <c r="C317" s="2">
        <f t="shared" si="16"/>
        <v>1</v>
      </c>
      <c r="D317" s="2" t="s">
        <v>318</v>
      </c>
      <c r="E317" s="2">
        <f t="shared" si="17"/>
        <v>3</v>
      </c>
      <c r="F317" s="17" t="s">
        <v>315</v>
      </c>
      <c r="G317" s="2">
        <f t="shared" si="18"/>
        <v>1</v>
      </c>
      <c r="H317" s="2">
        <f t="shared" si="19"/>
        <v>3</v>
      </c>
    </row>
    <row r="318" spans="1:8" x14ac:dyDescent="0.3">
      <c r="A318" s="2" t="s">
        <v>705</v>
      </c>
      <c r="B318" s="17" t="s">
        <v>315</v>
      </c>
      <c r="C318" s="2">
        <f t="shared" si="16"/>
        <v>1</v>
      </c>
      <c r="D318" s="2" t="s">
        <v>317</v>
      </c>
      <c r="E318" s="2">
        <f t="shared" si="17"/>
        <v>2</v>
      </c>
      <c r="F318" s="17" t="s">
        <v>316</v>
      </c>
      <c r="G318" s="2">
        <f t="shared" si="18"/>
        <v>0</v>
      </c>
      <c r="H318" s="2">
        <f t="shared" si="19"/>
        <v>2</v>
      </c>
    </row>
    <row r="319" spans="1:8" x14ac:dyDescent="0.3">
      <c r="A319" s="2" t="s">
        <v>793</v>
      </c>
      <c r="B319" s="17" t="s">
        <v>315</v>
      </c>
      <c r="C319" s="2">
        <f t="shared" si="16"/>
        <v>1</v>
      </c>
      <c r="D319" s="2" t="s">
        <v>320</v>
      </c>
      <c r="E319" s="2">
        <f t="shared" si="17"/>
        <v>1</v>
      </c>
      <c r="F319" s="17" t="s">
        <v>316</v>
      </c>
      <c r="G319" s="2">
        <f t="shared" si="18"/>
        <v>0</v>
      </c>
      <c r="H319" s="2">
        <f t="shared" si="19"/>
        <v>1</v>
      </c>
    </row>
    <row r="320" spans="1:8" x14ac:dyDescent="0.3">
      <c r="A320" s="2" t="s">
        <v>902</v>
      </c>
      <c r="B320" s="17" t="s">
        <v>315</v>
      </c>
      <c r="C320" s="2">
        <f t="shared" si="16"/>
        <v>1</v>
      </c>
      <c r="D320" s="2" t="s">
        <v>319</v>
      </c>
      <c r="E320" s="2">
        <f t="shared" si="17"/>
        <v>4</v>
      </c>
      <c r="F320" s="17" t="s">
        <v>315</v>
      </c>
      <c r="G320" s="2">
        <f t="shared" si="18"/>
        <v>1</v>
      </c>
      <c r="H320" s="2">
        <f t="shared" si="19"/>
        <v>4</v>
      </c>
    </row>
    <row r="321" spans="1:8" x14ac:dyDescent="0.3">
      <c r="A321" s="2" t="s">
        <v>830</v>
      </c>
      <c r="B321" s="17" t="s">
        <v>315</v>
      </c>
      <c r="C321" s="2">
        <f t="shared" si="16"/>
        <v>1</v>
      </c>
      <c r="D321" s="2" t="s">
        <v>319</v>
      </c>
      <c r="E321" s="2">
        <f t="shared" si="17"/>
        <v>4</v>
      </c>
      <c r="F321" s="17" t="s">
        <v>315</v>
      </c>
      <c r="G321" s="2">
        <f t="shared" si="18"/>
        <v>1</v>
      </c>
      <c r="H321" s="2">
        <f t="shared" si="19"/>
        <v>4</v>
      </c>
    </row>
    <row r="322" spans="1:8" x14ac:dyDescent="0.3">
      <c r="A322" s="2" t="s">
        <v>927</v>
      </c>
      <c r="B322" s="17" t="s">
        <v>315</v>
      </c>
      <c r="C322" s="2">
        <f t="shared" ref="C322:C385" si="20">IF(B322="Yes",1,0)</f>
        <v>1</v>
      </c>
      <c r="D322" s="2" t="s">
        <v>320</v>
      </c>
      <c r="E322" s="2">
        <f t="shared" ref="E322:E385" si="21">IF(D322="Needs Improvement",1,IF(D322="Meets Expectations",2,IF(D322="Exceeds Expectations",3,IF(D322="Outstanding",4,"Unknown"))))</f>
        <v>1</v>
      </c>
      <c r="F322" s="17" t="s">
        <v>315</v>
      </c>
      <c r="G322" s="2">
        <f t="shared" ref="G322:G385" si="22">IF(F322="Yes",1,0)</f>
        <v>1</v>
      </c>
      <c r="H322" s="2">
        <f t="shared" si="19"/>
        <v>1</v>
      </c>
    </row>
    <row r="323" spans="1:8" x14ac:dyDescent="0.3">
      <c r="A323" s="2" t="s">
        <v>840</v>
      </c>
      <c r="B323" s="17" t="s">
        <v>315</v>
      </c>
      <c r="C323" s="2">
        <f t="shared" si="20"/>
        <v>1</v>
      </c>
      <c r="D323" s="2" t="s">
        <v>320</v>
      </c>
      <c r="E323" s="2">
        <f t="shared" si="21"/>
        <v>1</v>
      </c>
      <c r="F323" s="17" t="s">
        <v>315</v>
      </c>
      <c r="G323" s="2">
        <f t="shared" si="22"/>
        <v>1</v>
      </c>
      <c r="H323" s="2">
        <f t="shared" ref="H323:H386" si="23">E323*C323</f>
        <v>1</v>
      </c>
    </row>
    <row r="324" spans="1:8" x14ac:dyDescent="0.3">
      <c r="A324" s="2" t="s">
        <v>820</v>
      </c>
      <c r="B324" s="17" t="s">
        <v>315</v>
      </c>
      <c r="C324" s="2">
        <f t="shared" si="20"/>
        <v>1</v>
      </c>
      <c r="D324" s="2" t="s">
        <v>319</v>
      </c>
      <c r="E324" s="2">
        <f t="shared" si="21"/>
        <v>4</v>
      </c>
      <c r="F324" s="17" t="s">
        <v>315</v>
      </c>
      <c r="G324" s="2">
        <f t="shared" si="22"/>
        <v>1</v>
      </c>
      <c r="H324" s="2">
        <f t="shared" si="23"/>
        <v>4</v>
      </c>
    </row>
    <row r="325" spans="1:8" x14ac:dyDescent="0.3">
      <c r="A325" s="2" t="s">
        <v>874</v>
      </c>
      <c r="B325" s="17" t="s">
        <v>315</v>
      </c>
      <c r="C325" s="2">
        <f t="shared" si="20"/>
        <v>1</v>
      </c>
      <c r="D325" s="2" t="s">
        <v>318</v>
      </c>
      <c r="E325" s="2">
        <f t="shared" si="21"/>
        <v>3</v>
      </c>
      <c r="F325" s="17" t="s">
        <v>315</v>
      </c>
      <c r="G325" s="2">
        <f t="shared" si="22"/>
        <v>1</v>
      </c>
      <c r="H325" s="2">
        <f t="shared" si="23"/>
        <v>3</v>
      </c>
    </row>
    <row r="326" spans="1:8" x14ac:dyDescent="0.3">
      <c r="A326" s="2" t="s">
        <v>915</v>
      </c>
      <c r="B326" s="17" t="s">
        <v>315</v>
      </c>
      <c r="C326" s="2">
        <f t="shared" si="20"/>
        <v>1</v>
      </c>
      <c r="D326" s="2" t="s">
        <v>320</v>
      </c>
      <c r="E326" s="2">
        <f t="shared" si="21"/>
        <v>1</v>
      </c>
      <c r="F326" s="17" t="s">
        <v>316</v>
      </c>
      <c r="G326" s="2">
        <f t="shared" si="22"/>
        <v>0</v>
      </c>
      <c r="H326" s="2">
        <f t="shared" si="23"/>
        <v>1</v>
      </c>
    </row>
    <row r="327" spans="1:8" x14ac:dyDescent="0.3">
      <c r="A327" s="2" t="s">
        <v>857</v>
      </c>
      <c r="B327" s="17" t="s">
        <v>315</v>
      </c>
      <c r="C327" s="2">
        <f t="shared" si="20"/>
        <v>1</v>
      </c>
      <c r="D327" s="2" t="s">
        <v>318</v>
      </c>
      <c r="E327" s="2">
        <f t="shared" si="21"/>
        <v>3</v>
      </c>
      <c r="F327" s="17" t="s">
        <v>315</v>
      </c>
      <c r="G327" s="2">
        <f t="shared" si="22"/>
        <v>1</v>
      </c>
      <c r="H327" s="2">
        <f t="shared" si="23"/>
        <v>3</v>
      </c>
    </row>
    <row r="328" spans="1:8" x14ac:dyDescent="0.3">
      <c r="A328" s="2" t="s">
        <v>156</v>
      </c>
      <c r="B328" s="17" t="s">
        <v>315</v>
      </c>
      <c r="C328" s="2">
        <f t="shared" si="20"/>
        <v>1</v>
      </c>
      <c r="D328" s="2" t="s">
        <v>318</v>
      </c>
      <c r="E328" s="2">
        <f t="shared" si="21"/>
        <v>3</v>
      </c>
      <c r="F328" s="17" t="s">
        <v>316</v>
      </c>
      <c r="G328" s="2">
        <f t="shared" si="22"/>
        <v>0</v>
      </c>
      <c r="H328" s="2">
        <f t="shared" si="23"/>
        <v>3</v>
      </c>
    </row>
    <row r="329" spans="1:8" x14ac:dyDescent="0.3">
      <c r="A329" s="2" t="s">
        <v>185</v>
      </c>
      <c r="B329" s="17" t="s">
        <v>315</v>
      </c>
      <c r="C329" s="2">
        <f t="shared" si="20"/>
        <v>1</v>
      </c>
      <c r="D329" s="2" t="s">
        <v>320</v>
      </c>
      <c r="E329" s="2">
        <f t="shared" si="21"/>
        <v>1</v>
      </c>
      <c r="F329" s="17" t="s">
        <v>315</v>
      </c>
      <c r="G329" s="2">
        <f t="shared" si="22"/>
        <v>1</v>
      </c>
      <c r="H329" s="2">
        <f t="shared" si="23"/>
        <v>1</v>
      </c>
    </row>
    <row r="330" spans="1:8" x14ac:dyDescent="0.3">
      <c r="A330" s="2" t="s">
        <v>1113</v>
      </c>
      <c r="B330" s="17" t="s">
        <v>315</v>
      </c>
      <c r="C330" s="2">
        <f t="shared" si="20"/>
        <v>1</v>
      </c>
      <c r="D330" s="2" t="s">
        <v>318</v>
      </c>
      <c r="E330" s="2">
        <f t="shared" si="21"/>
        <v>3</v>
      </c>
      <c r="F330" s="17" t="s">
        <v>315</v>
      </c>
      <c r="G330" s="2">
        <f t="shared" si="22"/>
        <v>1</v>
      </c>
      <c r="H330" s="2">
        <f t="shared" si="23"/>
        <v>3</v>
      </c>
    </row>
    <row r="331" spans="1:8" x14ac:dyDescent="0.3">
      <c r="A331" s="2" t="s">
        <v>686</v>
      </c>
      <c r="B331" s="17" t="s">
        <v>315</v>
      </c>
      <c r="C331" s="2">
        <f t="shared" si="20"/>
        <v>1</v>
      </c>
      <c r="D331" s="2" t="s">
        <v>320</v>
      </c>
      <c r="E331" s="2">
        <f t="shared" si="21"/>
        <v>1</v>
      </c>
      <c r="F331" s="17" t="s">
        <v>315</v>
      </c>
      <c r="G331" s="2">
        <f t="shared" si="22"/>
        <v>1</v>
      </c>
      <c r="H331" s="2">
        <f t="shared" si="23"/>
        <v>1</v>
      </c>
    </row>
    <row r="332" spans="1:8" x14ac:dyDescent="0.3">
      <c r="A332" s="2" t="s">
        <v>872</v>
      </c>
      <c r="B332" s="17" t="s">
        <v>315</v>
      </c>
      <c r="C332" s="2">
        <f t="shared" si="20"/>
        <v>1</v>
      </c>
      <c r="D332" s="2" t="s">
        <v>319</v>
      </c>
      <c r="E332" s="2">
        <f t="shared" si="21"/>
        <v>4</v>
      </c>
      <c r="F332" s="17" t="s">
        <v>315</v>
      </c>
      <c r="G332" s="2">
        <f t="shared" si="22"/>
        <v>1</v>
      </c>
      <c r="H332" s="2">
        <f t="shared" si="23"/>
        <v>4</v>
      </c>
    </row>
    <row r="333" spans="1:8" x14ac:dyDescent="0.3">
      <c r="A333" s="2" t="s">
        <v>197</v>
      </c>
      <c r="B333" s="17" t="s">
        <v>315</v>
      </c>
      <c r="C333" s="2">
        <f t="shared" si="20"/>
        <v>1</v>
      </c>
      <c r="D333" s="2" t="s">
        <v>319</v>
      </c>
      <c r="E333" s="2">
        <f t="shared" si="21"/>
        <v>4</v>
      </c>
      <c r="F333" s="17" t="s">
        <v>315</v>
      </c>
      <c r="G333" s="2">
        <f t="shared" si="22"/>
        <v>1</v>
      </c>
      <c r="H333" s="2">
        <f t="shared" si="23"/>
        <v>4</v>
      </c>
    </row>
    <row r="334" spans="1:8" x14ac:dyDescent="0.3">
      <c r="A334" s="2" t="s">
        <v>225</v>
      </c>
      <c r="B334" s="17" t="s">
        <v>315</v>
      </c>
      <c r="C334" s="2">
        <f t="shared" si="20"/>
        <v>1</v>
      </c>
      <c r="D334" s="2" t="s">
        <v>319</v>
      </c>
      <c r="E334" s="2">
        <f t="shared" si="21"/>
        <v>4</v>
      </c>
      <c r="F334" s="17" t="s">
        <v>316</v>
      </c>
      <c r="G334" s="2">
        <f t="shared" si="22"/>
        <v>0</v>
      </c>
      <c r="H334" s="2">
        <f t="shared" si="23"/>
        <v>4</v>
      </c>
    </row>
    <row r="335" spans="1:8" x14ac:dyDescent="0.3">
      <c r="A335" s="2" t="s">
        <v>850</v>
      </c>
      <c r="B335" s="17" t="s">
        <v>315</v>
      </c>
      <c r="C335" s="2">
        <f t="shared" si="20"/>
        <v>1</v>
      </c>
      <c r="D335" s="2" t="s">
        <v>317</v>
      </c>
      <c r="E335" s="2">
        <f t="shared" si="21"/>
        <v>2</v>
      </c>
      <c r="F335" s="17" t="s">
        <v>316</v>
      </c>
      <c r="G335" s="2">
        <f t="shared" si="22"/>
        <v>0</v>
      </c>
      <c r="H335" s="2">
        <f t="shared" si="23"/>
        <v>2</v>
      </c>
    </row>
    <row r="336" spans="1:8" x14ac:dyDescent="0.3">
      <c r="A336" s="2" t="s">
        <v>199</v>
      </c>
      <c r="B336" s="17" t="s">
        <v>315</v>
      </c>
      <c r="C336" s="2">
        <f t="shared" si="20"/>
        <v>1</v>
      </c>
      <c r="D336" s="2" t="s">
        <v>320</v>
      </c>
      <c r="E336" s="2">
        <f t="shared" si="21"/>
        <v>1</v>
      </c>
      <c r="F336" s="17" t="s">
        <v>315</v>
      </c>
      <c r="G336" s="2">
        <f t="shared" si="22"/>
        <v>1</v>
      </c>
      <c r="H336" s="2">
        <f t="shared" si="23"/>
        <v>1</v>
      </c>
    </row>
    <row r="337" spans="1:8" x14ac:dyDescent="0.3">
      <c r="A337" s="2" t="s">
        <v>891</v>
      </c>
      <c r="B337" s="17" t="s">
        <v>315</v>
      </c>
      <c r="C337" s="2">
        <f t="shared" si="20"/>
        <v>1</v>
      </c>
      <c r="D337" s="2" t="s">
        <v>317</v>
      </c>
      <c r="E337" s="2">
        <f t="shared" si="21"/>
        <v>2</v>
      </c>
      <c r="F337" s="17" t="s">
        <v>315</v>
      </c>
      <c r="G337" s="2">
        <f t="shared" si="22"/>
        <v>1</v>
      </c>
      <c r="H337" s="2">
        <f t="shared" si="23"/>
        <v>2</v>
      </c>
    </row>
    <row r="338" spans="1:8" x14ac:dyDescent="0.3">
      <c r="A338" s="2" t="s">
        <v>732</v>
      </c>
      <c r="B338" s="17" t="s">
        <v>315</v>
      </c>
      <c r="C338" s="2">
        <f t="shared" si="20"/>
        <v>1</v>
      </c>
      <c r="D338" s="2" t="s">
        <v>319</v>
      </c>
      <c r="E338" s="2">
        <f t="shared" si="21"/>
        <v>4</v>
      </c>
      <c r="F338" s="17" t="s">
        <v>315</v>
      </c>
      <c r="G338" s="2">
        <f t="shared" si="22"/>
        <v>1</v>
      </c>
      <c r="H338" s="2">
        <f t="shared" si="23"/>
        <v>4</v>
      </c>
    </row>
    <row r="339" spans="1:8" x14ac:dyDescent="0.3">
      <c r="A339" s="2" t="s">
        <v>165</v>
      </c>
      <c r="B339" s="17" t="s">
        <v>315</v>
      </c>
      <c r="C339" s="2">
        <f t="shared" si="20"/>
        <v>1</v>
      </c>
      <c r="D339" s="2" t="s">
        <v>319</v>
      </c>
      <c r="E339" s="2">
        <f t="shared" si="21"/>
        <v>4</v>
      </c>
      <c r="F339" s="17" t="s">
        <v>315</v>
      </c>
      <c r="G339" s="2">
        <f t="shared" si="22"/>
        <v>1</v>
      </c>
      <c r="H339" s="2">
        <f t="shared" si="23"/>
        <v>4</v>
      </c>
    </row>
    <row r="340" spans="1:8" x14ac:dyDescent="0.3">
      <c r="A340" s="2" t="s">
        <v>885</v>
      </c>
      <c r="B340" s="17" t="s">
        <v>315</v>
      </c>
      <c r="C340" s="2">
        <f t="shared" si="20"/>
        <v>1</v>
      </c>
      <c r="D340" s="2" t="s">
        <v>319</v>
      </c>
      <c r="E340" s="2">
        <f t="shared" si="21"/>
        <v>4</v>
      </c>
      <c r="F340" s="17" t="s">
        <v>316</v>
      </c>
      <c r="G340" s="2">
        <f t="shared" si="22"/>
        <v>0</v>
      </c>
      <c r="H340" s="2">
        <f t="shared" si="23"/>
        <v>4</v>
      </c>
    </row>
    <row r="341" spans="1:8" x14ac:dyDescent="0.3">
      <c r="A341" s="2" t="s">
        <v>187</v>
      </c>
      <c r="B341" s="17" t="s">
        <v>315</v>
      </c>
      <c r="C341" s="2">
        <f t="shared" si="20"/>
        <v>1</v>
      </c>
      <c r="D341" s="2" t="s">
        <v>317</v>
      </c>
      <c r="E341" s="2">
        <f t="shared" si="21"/>
        <v>2</v>
      </c>
      <c r="F341" s="17" t="s">
        <v>315</v>
      </c>
      <c r="G341" s="2">
        <f t="shared" si="22"/>
        <v>1</v>
      </c>
      <c r="H341" s="2">
        <f t="shared" si="23"/>
        <v>2</v>
      </c>
    </row>
    <row r="342" spans="1:8" x14ac:dyDescent="0.3">
      <c r="A342" s="2" t="s">
        <v>757</v>
      </c>
      <c r="B342" s="17" t="s">
        <v>315</v>
      </c>
      <c r="C342" s="2">
        <f t="shared" si="20"/>
        <v>1</v>
      </c>
      <c r="D342" s="2" t="s">
        <v>317</v>
      </c>
      <c r="E342" s="2">
        <f t="shared" si="21"/>
        <v>2</v>
      </c>
      <c r="F342" s="17" t="s">
        <v>316</v>
      </c>
      <c r="G342" s="2">
        <f t="shared" si="22"/>
        <v>0</v>
      </c>
      <c r="H342" s="2">
        <f t="shared" si="23"/>
        <v>2</v>
      </c>
    </row>
    <row r="343" spans="1:8" x14ac:dyDescent="0.3">
      <c r="A343" s="2" t="s">
        <v>667</v>
      </c>
      <c r="B343" s="17" t="s">
        <v>315</v>
      </c>
      <c r="C343" s="2">
        <f t="shared" si="20"/>
        <v>1</v>
      </c>
      <c r="D343" s="2" t="s">
        <v>318</v>
      </c>
      <c r="E343" s="2">
        <f t="shared" si="21"/>
        <v>3</v>
      </c>
      <c r="F343" s="17" t="s">
        <v>315</v>
      </c>
      <c r="G343" s="2">
        <f t="shared" si="22"/>
        <v>1</v>
      </c>
      <c r="H343" s="2">
        <f t="shared" si="23"/>
        <v>3</v>
      </c>
    </row>
    <row r="344" spans="1:8" x14ac:dyDescent="0.3">
      <c r="A344" s="2" t="s">
        <v>895</v>
      </c>
      <c r="B344" s="17" t="s">
        <v>315</v>
      </c>
      <c r="C344" s="2">
        <f t="shared" si="20"/>
        <v>1</v>
      </c>
      <c r="D344" s="2" t="s">
        <v>317</v>
      </c>
      <c r="E344" s="2">
        <f t="shared" si="21"/>
        <v>2</v>
      </c>
      <c r="F344" s="17" t="s">
        <v>315</v>
      </c>
      <c r="G344" s="2">
        <f t="shared" si="22"/>
        <v>1</v>
      </c>
      <c r="H344" s="2">
        <f t="shared" si="23"/>
        <v>2</v>
      </c>
    </row>
    <row r="345" spans="1:8" x14ac:dyDescent="0.3">
      <c r="A345" s="2" t="s">
        <v>682</v>
      </c>
      <c r="B345" s="17" t="s">
        <v>315</v>
      </c>
      <c r="C345" s="2">
        <f t="shared" si="20"/>
        <v>1</v>
      </c>
      <c r="D345" s="2" t="s">
        <v>318</v>
      </c>
      <c r="E345" s="2">
        <f t="shared" si="21"/>
        <v>3</v>
      </c>
      <c r="F345" s="17" t="s">
        <v>316</v>
      </c>
      <c r="G345" s="2">
        <f t="shared" si="22"/>
        <v>0</v>
      </c>
      <c r="H345" s="2">
        <f t="shared" si="23"/>
        <v>3</v>
      </c>
    </row>
    <row r="346" spans="1:8" x14ac:dyDescent="0.3">
      <c r="A346" s="2" t="s">
        <v>164</v>
      </c>
      <c r="B346" s="17" t="s">
        <v>315</v>
      </c>
      <c r="C346" s="2">
        <f t="shared" si="20"/>
        <v>1</v>
      </c>
      <c r="D346" s="2" t="s">
        <v>317</v>
      </c>
      <c r="E346" s="2">
        <f t="shared" si="21"/>
        <v>2</v>
      </c>
      <c r="F346" s="17" t="s">
        <v>316</v>
      </c>
      <c r="G346" s="2">
        <f t="shared" si="22"/>
        <v>0</v>
      </c>
      <c r="H346" s="2">
        <f t="shared" si="23"/>
        <v>2</v>
      </c>
    </row>
    <row r="347" spans="1:8" x14ac:dyDescent="0.3">
      <c r="A347" s="2" t="s">
        <v>710</v>
      </c>
      <c r="B347" s="17" t="s">
        <v>315</v>
      </c>
      <c r="C347" s="2">
        <f t="shared" si="20"/>
        <v>1</v>
      </c>
      <c r="D347" s="2" t="s">
        <v>319</v>
      </c>
      <c r="E347" s="2">
        <f t="shared" si="21"/>
        <v>4</v>
      </c>
      <c r="F347" s="17" t="s">
        <v>315</v>
      </c>
      <c r="G347" s="2">
        <f t="shared" si="22"/>
        <v>1</v>
      </c>
      <c r="H347" s="2">
        <f t="shared" si="23"/>
        <v>4</v>
      </c>
    </row>
    <row r="348" spans="1:8" x14ac:dyDescent="0.3">
      <c r="A348" s="2" t="s">
        <v>136</v>
      </c>
      <c r="B348" s="17" t="s">
        <v>315</v>
      </c>
      <c r="C348" s="2">
        <f t="shared" si="20"/>
        <v>1</v>
      </c>
      <c r="D348" s="2" t="s">
        <v>318</v>
      </c>
      <c r="E348" s="2">
        <f t="shared" si="21"/>
        <v>3</v>
      </c>
      <c r="F348" s="17" t="s">
        <v>316</v>
      </c>
      <c r="G348" s="2">
        <f t="shared" si="22"/>
        <v>0</v>
      </c>
      <c r="H348" s="2">
        <f t="shared" si="23"/>
        <v>3</v>
      </c>
    </row>
    <row r="349" spans="1:8" x14ac:dyDescent="0.3">
      <c r="A349" s="2" t="s">
        <v>207</v>
      </c>
      <c r="B349" s="17" t="s">
        <v>315</v>
      </c>
      <c r="C349" s="2">
        <f t="shared" si="20"/>
        <v>1</v>
      </c>
      <c r="D349" s="2" t="s">
        <v>318</v>
      </c>
      <c r="E349" s="2">
        <f t="shared" si="21"/>
        <v>3</v>
      </c>
      <c r="F349" s="17" t="s">
        <v>316</v>
      </c>
      <c r="G349" s="2">
        <f t="shared" si="22"/>
        <v>0</v>
      </c>
      <c r="H349" s="2">
        <f t="shared" si="23"/>
        <v>3</v>
      </c>
    </row>
    <row r="350" spans="1:8" x14ac:dyDescent="0.3">
      <c r="A350" s="2" t="s">
        <v>712</v>
      </c>
      <c r="B350" s="17" t="s">
        <v>315</v>
      </c>
      <c r="C350" s="2">
        <f t="shared" si="20"/>
        <v>1</v>
      </c>
      <c r="D350" s="2" t="s">
        <v>317</v>
      </c>
      <c r="E350" s="2">
        <f t="shared" si="21"/>
        <v>2</v>
      </c>
      <c r="F350" s="17" t="s">
        <v>316</v>
      </c>
      <c r="G350" s="2">
        <f t="shared" si="22"/>
        <v>0</v>
      </c>
      <c r="H350" s="2">
        <f t="shared" si="23"/>
        <v>2</v>
      </c>
    </row>
    <row r="351" spans="1:8" x14ac:dyDescent="0.3">
      <c r="A351" s="2" t="s">
        <v>736</v>
      </c>
      <c r="B351" s="17" t="s">
        <v>315</v>
      </c>
      <c r="C351" s="2">
        <f t="shared" si="20"/>
        <v>1</v>
      </c>
      <c r="D351" s="2" t="s">
        <v>319</v>
      </c>
      <c r="E351" s="2">
        <f t="shared" si="21"/>
        <v>4</v>
      </c>
      <c r="F351" s="17" t="s">
        <v>316</v>
      </c>
      <c r="G351" s="2">
        <f t="shared" si="22"/>
        <v>0</v>
      </c>
      <c r="H351" s="2">
        <f t="shared" si="23"/>
        <v>4</v>
      </c>
    </row>
    <row r="352" spans="1:8" x14ac:dyDescent="0.3">
      <c r="A352" s="2" t="s">
        <v>896</v>
      </c>
      <c r="B352" s="17" t="s">
        <v>315</v>
      </c>
      <c r="C352" s="2">
        <f t="shared" si="20"/>
        <v>1</v>
      </c>
      <c r="D352" s="2" t="s">
        <v>318</v>
      </c>
      <c r="E352" s="2">
        <f t="shared" si="21"/>
        <v>3</v>
      </c>
      <c r="F352" s="17" t="s">
        <v>316</v>
      </c>
      <c r="G352" s="2">
        <f t="shared" si="22"/>
        <v>0</v>
      </c>
      <c r="H352" s="2">
        <f t="shared" si="23"/>
        <v>3</v>
      </c>
    </row>
    <row r="353" spans="1:8" x14ac:dyDescent="0.3">
      <c r="A353" s="2" t="s">
        <v>911</v>
      </c>
      <c r="B353" s="17" t="s">
        <v>315</v>
      </c>
      <c r="C353" s="2">
        <f t="shared" si="20"/>
        <v>1</v>
      </c>
      <c r="D353" s="2" t="s">
        <v>317</v>
      </c>
      <c r="E353" s="2">
        <f t="shared" si="21"/>
        <v>2</v>
      </c>
      <c r="F353" s="17" t="s">
        <v>315</v>
      </c>
      <c r="G353" s="2">
        <f t="shared" si="22"/>
        <v>1</v>
      </c>
      <c r="H353" s="2">
        <f t="shared" si="23"/>
        <v>2</v>
      </c>
    </row>
    <row r="354" spans="1:8" x14ac:dyDescent="0.3">
      <c r="A354" s="2" t="s">
        <v>900</v>
      </c>
      <c r="B354" s="17" t="s">
        <v>315</v>
      </c>
      <c r="C354" s="2">
        <f t="shared" si="20"/>
        <v>1</v>
      </c>
      <c r="D354" s="2" t="s">
        <v>318</v>
      </c>
      <c r="E354" s="2">
        <f t="shared" si="21"/>
        <v>3</v>
      </c>
      <c r="F354" s="17" t="s">
        <v>315</v>
      </c>
      <c r="G354" s="2">
        <f t="shared" si="22"/>
        <v>1</v>
      </c>
      <c r="H354" s="2">
        <f t="shared" si="23"/>
        <v>3</v>
      </c>
    </row>
    <row r="355" spans="1:8" x14ac:dyDescent="0.3">
      <c r="A355" s="2" t="s">
        <v>837</v>
      </c>
      <c r="B355" s="17" t="s">
        <v>315</v>
      </c>
      <c r="C355" s="2">
        <f t="shared" si="20"/>
        <v>1</v>
      </c>
      <c r="D355" s="2" t="s">
        <v>317</v>
      </c>
      <c r="E355" s="2">
        <f t="shared" si="21"/>
        <v>2</v>
      </c>
      <c r="F355" s="17" t="s">
        <v>316</v>
      </c>
      <c r="G355" s="2">
        <f t="shared" si="22"/>
        <v>0</v>
      </c>
      <c r="H355" s="2">
        <f t="shared" si="23"/>
        <v>2</v>
      </c>
    </row>
    <row r="356" spans="1:8" x14ac:dyDescent="0.3">
      <c r="A356" s="2" t="s">
        <v>201</v>
      </c>
      <c r="B356" s="17" t="s">
        <v>315</v>
      </c>
      <c r="C356" s="2">
        <f t="shared" si="20"/>
        <v>1</v>
      </c>
      <c r="D356" s="2" t="s">
        <v>320</v>
      </c>
      <c r="E356" s="2">
        <f t="shared" si="21"/>
        <v>1</v>
      </c>
      <c r="F356" s="17" t="s">
        <v>316</v>
      </c>
      <c r="G356" s="2">
        <f t="shared" si="22"/>
        <v>0</v>
      </c>
      <c r="H356" s="2">
        <f t="shared" si="23"/>
        <v>1</v>
      </c>
    </row>
    <row r="357" spans="1:8" x14ac:dyDescent="0.3">
      <c r="A357" s="2" t="s">
        <v>742</v>
      </c>
      <c r="B357" s="17" t="s">
        <v>315</v>
      </c>
      <c r="C357" s="2">
        <f t="shared" si="20"/>
        <v>1</v>
      </c>
      <c r="D357" s="2" t="s">
        <v>318</v>
      </c>
      <c r="E357" s="2">
        <f t="shared" si="21"/>
        <v>3</v>
      </c>
      <c r="F357" s="17" t="s">
        <v>315</v>
      </c>
      <c r="G357" s="2">
        <f t="shared" si="22"/>
        <v>1</v>
      </c>
      <c r="H357" s="2">
        <f t="shared" si="23"/>
        <v>3</v>
      </c>
    </row>
    <row r="358" spans="1:8" x14ac:dyDescent="0.3">
      <c r="A358" s="2" t="s">
        <v>200</v>
      </c>
      <c r="B358" s="17" t="s">
        <v>315</v>
      </c>
      <c r="C358" s="2">
        <f t="shared" si="20"/>
        <v>1</v>
      </c>
      <c r="D358" s="2" t="s">
        <v>318</v>
      </c>
      <c r="E358" s="2">
        <f t="shared" si="21"/>
        <v>3</v>
      </c>
      <c r="F358" s="17" t="s">
        <v>315</v>
      </c>
      <c r="G358" s="2">
        <f t="shared" si="22"/>
        <v>1</v>
      </c>
      <c r="H358" s="2">
        <f t="shared" si="23"/>
        <v>3</v>
      </c>
    </row>
    <row r="359" spans="1:8" x14ac:dyDescent="0.3">
      <c r="A359" s="2" t="s">
        <v>842</v>
      </c>
      <c r="B359" s="17" t="s">
        <v>315</v>
      </c>
      <c r="C359" s="2">
        <f t="shared" si="20"/>
        <v>1</v>
      </c>
      <c r="D359" s="2" t="s">
        <v>317</v>
      </c>
      <c r="E359" s="2">
        <f t="shared" si="21"/>
        <v>2</v>
      </c>
      <c r="F359" s="17" t="s">
        <v>316</v>
      </c>
      <c r="G359" s="2">
        <f t="shared" si="22"/>
        <v>0</v>
      </c>
      <c r="H359" s="2">
        <f t="shared" si="23"/>
        <v>2</v>
      </c>
    </row>
    <row r="360" spans="1:8" x14ac:dyDescent="0.3">
      <c r="A360" s="2" t="s">
        <v>873</v>
      </c>
      <c r="B360" s="17" t="s">
        <v>315</v>
      </c>
      <c r="C360" s="2">
        <f t="shared" si="20"/>
        <v>1</v>
      </c>
      <c r="D360" s="2" t="s">
        <v>319</v>
      </c>
      <c r="E360" s="2">
        <f t="shared" si="21"/>
        <v>4</v>
      </c>
      <c r="F360" s="17" t="s">
        <v>316</v>
      </c>
      <c r="G360" s="2">
        <f t="shared" si="22"/>
        <v>0</v>
      </c>
      <c r="H360" s="2">
        <f t="shared" si="23"/>
        <v>4</v>
      </c>
    </row>
    <row r="361" spans="1:8" x14ac:dyDescent="0.3">
      <c r="A361" s="2" t="s">
        <v>942</v>
      </c>
      <c r="B361" s="17" t="s">
        <v>315</v>
      </c>
      <c r="C361" s="2">
        <f t="shared" si="20"/>
        <v>1</v>
      </c>
      <c r="D361" s="2" t="s">
        <v>319</v>
      </c>
      <c r="E361" s="2">
        <f t="shared" si="21"/>
        <v>4</v>
      </c>
      <c r="F361" s="17" t="s">
        <v>315</v>
      </c>
      <c r="G361" s="2">
        <f t="shared" si="22"/>
        <v>1</v>
      </c>
      <c r="H361" s="2">
        <f t="shared" si="23"/>
        <v>4</v>
      </c>
    </row>
    <row r="362" spans="1:8" x14ac:dyDescent="0.3">
      <c r="A362" s="2" t="s">
        <v>226</v>
      </c>
      <c r="B362" s="17" t="s">
        <v>315</v>
      </c>
      <c r="C362" s="2">
        <f t="shared" si="20"/>
        <v>1</v>
      </c>
      <c r="D362" s="2" t="s">
        <v>319</v>
      </c>
      <c r="E362" s="2">
        <f t="shared" si="21"/>
        <v>4</v>
      </c>
      <c r="F362" s="17" t="s">
        <v>315</v>
      </c>
      <c r="G362" s="2">
        <f t="shared" si="22"/>
        <v>1</v>
      </c>
      <c r="H362" s="2">
        <f t="shared" si="23"/>
        <v>4</v>
      </c>
    </row>
    <row r="363" spans="1:8" x14ac:dyDescent="0.3">
      <c r="A363" s="2" t="s">
        <v>713</v>
      </c>
      <c r="B363" s="17" t="s">
        <v>315</v>
      </c>
      <c r="C363" s="2">
        <f t="shared" si="20"/>
        <v>1</v>
      </c>
      <c r="D363" s="2" t="s">
        <v>318</v>
      </c>
      <c r="E363" s="2">
        <f t="shared" si="21"/>
        <v>3</v>
      </c>
      <c r="F363" s="17" t="s">
        <v>316</v>
      </c>
      <c r="G363" s="2">
        <f t="shared" si="22"/>
        <v>0</v>
      </c>
      <c r="H363" s="2">
        <f t="shared" si="23"/>
        <v>3</v>
      </c>
    </row>
    <row r="364" spans="1:8" x14ac:dyDescent="0.3">
      <c r="A364" s="2" t="s">
        <v>878</v>
      </c>
      <c r="B364" s="17" t="s">
        <v>315</v>
      </c>
      <c r="C364" s="2">
        <f t="shared" si="20"/>
        <v>1</v>
      </c>
      <c r="D364" s="2" t="s">
        <v>318</v>
      </c>
      <c r="E364" s="2">
        <f t="shared" si="21"/>
        <v>3</v>
      </c>
      <c r="F364" s="17" t="s">
        <v>315</v>
      </c>
      <c r="G364" s="2">
        <f t="shared" si="22"/>
        <v>1</v>
      </c>
      <c r="H364" s="2">
        <f t="shared" si="23"/>
        <v>3</v>
      </c>
    </row>
    <row r="365" spans="1:8" x14ac:dyDescent="0.3">
      <c r="A365" s="2" t="s">
        <v>140</v>
      </c>
      <c r="B365" s="17" t="s">
        <v>315</v>
      </c>
      <c r="C365" s="2">
        <f t="shared" si="20"/>
        <v>1</v>
      </c>
      <c r="D365" s="2" t="s">
        <v>317</v>
      </c>
      <c r="E365" s="2">
        <f t="shared" si="21"/>
        <v>2</v>
      </c>
      <c r="F365" s="17" t="s">
        <v>316</v>
      </c>
      <c r="G365" s="2">
        <f t="shared" si="22"/>
        <v>0</v>
      </c>
      <c r="H365" s="2">
        <f t="shared" si="23"/>
        <v>2</v>
      </c>
    </row>
    <row r="366" spans="1:8" x14ac:dyDescent="0.3">
      <c r="A366" s="2" t="s">
        <v>856</v>
      </c>
      <c r="B366" s="17" t="s">
        <v>315</v>
      </c>
      <c r="C366" s="2">
        <f t="shared" si="20"/>
        <v>1</v>
      </c>
      <c r="D366" s="2" t="s">
        <v>318</v>
      </c>
      <c r="E366" s="2">
        <f t="shared" si="21"/>
        <v>3</v>
      </c>
      <c r="F366" s="17" t="s">
        <v>315</v>
      </c>
      <c r="G366" s="2">
        <f t="shared" si="22"/>
        <v>1</v>
      </c>
      <c r="H366" s="2">
        <f t="shared" si="23"/>
        <v>3</v>
      </c>
    </row>
    <row r="367" spans="1:8" x14ac:dyDescent="0.3">
      <c r="A367" s="2" t="s">
        <v>724</v>
      </c>
      <c r="B367" s="17" t="s">
        <v>315</v>
      </c>
      <c r="C367" s="2">
        <f t="shared" si="20"/>
        <v>1</v>
      </c>
      <c r="D367" s="2" t="s">
        <v>320</v>
      </c>
      <c r="E367" s="2">
        <f t="shared" si="21"/>
        <v>1</v>
      </c>
      <c r="F367" s="17" t="s">
        <v>316</v>
      </c>
      <c r="G367" s="2">
        <f t="shared" si="22"/>
        <v>0</v>
      </c>
      <c r="H367" s="2">
        <f t="shared" si="23"/>
        <v>1</v>
      </c>
    </row>
    <row r="368" spans="1:8" x14ac:dyDescent="0.3">
      <c r="A368" s="2" t="s">
        <v>184</v>
      </c>
      <c r="B368" s="17" t="s">
        <v>315</v>
      </c>
      <c r="C368" s="2">
        <f t="shared" si="20"/>
        <v>1</v>
      </c>
      <c r="D368" s="2" t="s">
        <v>318</v>
      </c>
      <c r="E368" s="2">
        <f t="shared" si="21"/>
        <v>3</v>
      </c>
      <c r="F368" s="17" t="s">
        <v>316</v>
      </c>
      <c r="G368" s="2">
        <f t="shared" si="22"/>
        <v>0</v>
      </c>
      <c r="H368" s="2">
        <f t="shared" si="23"/>
        <v>3</v>
      </c>
    </row>
    <row r="369" spans="1:8" x14ac:dyDescent="0.3">
      <c r="A369" s="2" t="s">
        <v>870</v>
      </c>
      <c r="B369" s="17" t="s">
        <v>315</v>
      </c>
      <c r="C369" s="2">
        <f t="shared" si="20"/>
        <v>1</v>
      </c>
      <c r="D369" s="2" t="s">
        <v>319</v>
      </c>
      <c r="E369" s="2">
        <f t="shared" si="21"/>
        <v>4</v>
      </c>
      <c r="F369" s="17" t="s">
        <v>316</v>
      </c>
      <c r="G369" s="2">
        <f t="shared" si="22"/>
        <v>0</v>
      </c>
      <c r="H369" s="2">
        <f t="shared" si="23"/>
        <v>4</v>
      </c>
    </row>
    <row r="370" spans="1:8" x14ac:dyDescent="0.3">
      <c r="A370" s="2" t="s">
        <v>765</v>
      </c>
      <c r="B370" s="17" t="s">
        <v>315</v>
      </c>
      <c r="C370" s="2">
        <f t="shared" si="20"/>
        <v>1</v>
      </c>
      <c r="D370" s="2" t="s">
        <v>319</v>
      </c>
      <c r="E370" s="2">
        <f t="shared" si="21"/>
        <v>4</v>
      </c>
      <c r="F370" s="17" t="s">
        <v>316</v>
      </c>
      <c r="G370" s="2">
        <f t="shared" si="22"/>
        <v>0</v>
      </c>
      <c r="H370" s="2">
        <f t="shared" si="23"/>
        <v>4</v>
      </c>
    </row>
    <row r="371" spans="1:8" x14ac:dyDescent="0.3">
      <c r="A371" s="2" t="s">
        <v>664</v>
      </c>
      <c r="B371" s="17" t="s">
        <v>315</v>
      </c>
      <c r="C371" s="2">
        <f t="shared" si="20"/>
        <v>1</v>
      </c>
      <c r="D371" s="2" t="s">
        <v>320</v>
      </c>
      <c r="E371" s="2">
        <f t="shared" si="21"/>
        <v>1</v>
      </c>
      <c r="F371" s="17" t="s">
        <v>315</v>
      </c>
      <c r="G371" s="2">
        <f t="shared" si="22"/>
        <v>1</v>
      </c>
      <c r="H371" s="2">
        <f t="shared" si="23"/>
        <v>1</v>
      </c>
    </row>
    <row r="372" spans="1:8" x14ac:dyDescent="0.3">
      <c r="A372" s="2" t="s">
        <v>865</v>
      </c>
      <c r="B372" s="17" t="s">
        <v>315</v>
      </c>
      <c r="C372" s="2">
        <f t="shared" si="20"/>
        <v>1</v>
      </c>
      <c r="D372" s="2" t="s">
        <v>318</v>
      </c>
      <c r="E372" s="2">
        <f t="shared" si="21"/>
        <v>3</v>
      </c>
      <c r="F372" s="17" t="s">
        <v>315</v>
      </c>
      <c r="G372" s="2">
        <f t="shared" si="22"/>
        <v>1</v>
      </c>
      <c r="H372" s="2">
        <f t="shared" si="23"/>
        <v>3</v>
      </c>
    </row>
    <row r="373" spans="1:8" x14ac:dyDescent="0.3">
      <c r="A373" s="2" t="s">
        <v>223</v>
      </c>
      <c r="B373" s="17" t="s">
        <v>315</v>
      </c>
      <c r="C373" s="2">
        <f t="shared" si="20"/>
        <v>1</v>
      </c>
      <c r="D373" s="2" t="s">
        <v>317</v>
      </c>
      <c r="E373" s="2">
        <f t="shared" si="21"/>
        <v>2</v>
      </c>
      <c r="F373" s="17" t="s">
        <v>315</v>
      </c>
      <c r="G373" s="2">
        <f t="shared" si="22"/>
        <v>1</v>
      </c>
      <c r="H373" s="2">
        <f t="shared" si="23"/>
        <v>2</v>
      </c>
    </row>
    <row r="374" spans="1:8" x14ac:dyDescent="0.3">
      <c r="A374" s="2" t="s">
        <v>198</v>
      </c>
      <c r="B374" s="17" t="s">
        <v>315</v>
      </c>
      <c r="C374" s="2">
        <f t="shared" si="20"/>
        <v>1</v>
      </c>
      <c r="D374" s="2" t="s">
        <v>317</v>
      </c>
      <c r="E374" s="2">
        <f t="shared" si="21"/>
        <v>2</v>
      </c>
      <c r="F374" s="17" t="s">
        <v>316</v>
      </c>
      <c r="G374" s="2">
        <f t="shared" si="22"/>
        <v>0</v>
      </c>
      <c r="H374" s="2">
        <f t="shared" si="23"/>
        <v>2</v>
      </c>
    </row>
    <row r="375" spans="1:8" x14ac:dyDescent="0.3">
      <c r="A375" s="2" t="s">
        <v>219</v>
      </c>
      <c r="B375" s="17" t="s">
        <v>315</v>
      </c>
      <c r="C375" s="2">
        <f t="shared" si="20"/>
        <v>1</v>
      </c>
      <c r="D375" s="2" t="s">
        <v>318</v>
      </c>
      <c r="E375" s="2">
        <f t="shared" si="21"/>
        <v>3</v>
      </c>
      <c r="F375" s="17" t="s">
        <v>316</v>
      </c>
      <c r="G375" s="2">
        <f t="shared" si="22"/>
        <v>0</v>
      </c>
      <c r="H375" s="2">
        <f t="shared" si="23"/>
        <v>3</v>
      </c>
    </row>
    <row r="376" spans="1:8" x14ac:dyDescent="0.3">
      <c r="A376" s="2" t="s">
        <v>932</v>
      </c>
      <c r="B376" s="17" t="s">
        <v>315</v>
      </c>
      <c r="C376" s="2">
        <f t="shared" si="20"/>
        <v>1</v>
      </c>
      <c r="D376" s="2" t="s">
        <v>320</v>
      </c>
      <c r="E376" s="2">
        <f t="shared" si="21"/>
        <v>1</v>
      </c>
      <c r="F376" s="17" t="s">
        <v>316</v>
      </c>
      <c r="G376" s="2">
        <f t="shared" si="22"/>
        <v>0</v>
      </c>
      <c r="H376" s="2">
        <f t="shared" si="23"/>
        <v>1</v>
      </c>
    </row>
    <row r="377" spans="1:8" x14ac:dyDescent="0.3">
      <c r="A377" s="2" t="s">
        <v>862</v>
      </c>
      <c r="B377" s="17" t="s">
        <v>315</v>
      </c>
      <c r="C377" s="2">
        <f t="shared" si="20"/>
        <v>1</v>
      </c>
      <c r="D377" s="2" t="s">
        <v>319</v>
      </c>
      <c r="E377" s="2">
        <f t="shared" si="21"/>
        <v>4</v>
      </c>
      <c r="F377" s="17" t="s">
        <v>316</v>
      </c>
      <c r="G377" s="2">
        <f t="shared" si="22"/>
        <v>0</v>
      </c>
      <c r="H377" s="2">
        <f t="shared" si="23"/>
        <v>4</v>
      </c>
    </row>
    <row r="378" spans="1:8" x14ac:dyDescent="0.3">
      <c r="A378" s="2" t="s">
        <v>704</v>
      </c>
      <c r="B378" s="17" t="s">
        <v>315</v>
      </c>
      <c r="C378" s="2">
        <f t="shared" si="20"/>
        <v>1</v>
      </c>
      <c r="D378" s="2" t="s">
        <v>320</v>
      </c>
      <c r="E378" s="2">
        <f t="shared" si="21"/>
        <v>1</v>
      </c>
      <c r="F378" s="17" t="s">
        <v>316</v>
      </c>
      <c r="G378" s="2">
        <f t="shared" si="22"/>
        <v>0</v>
      </c>
      <c r="H378" s="2">
        <f t="shared" si="23"/>
        <v>1</v>
      </c>
    </row>
    <row r="379" spans="1:8" x14ac:dyDescent="0.3">
      <c r="A379" s="2" t="s">
        <v>804</v>
      </c>
      <c r="B379" s="17" t="s">
        <v>315</v>
      </c>
      <c r="C379" s="2">
        <f t="shared" si="20"/>
        <v>1</v>
      </c>
      <c r="D379" s="2" t="s">
        <v>318</v>
      </c>
      <c r="E379" s="2">
        <f t="shared" si="21"/>
        <v>3</v>
      </c>
      <c r="F379" s="17" t="s">
        <v>315</v>
      </c>
      <c r="G379" s="2">
        <f t="shared" si="22"/>
        <v>1</v>
      </c>
      <c r="H379" s="2">
        <f t="shared" si="23"/>
        <v>3</v>
      </c>
    </row>
    <row r="380" spans="1:8" x14ac:dyDescent="0.3">
      <c r="A380" s="2" t="s">
        <v>780</v>
      </c>
      <c r="B380" s="17" t="s">
        <v>315</v>
      </c>
      <c r="C380" s="2">
        <f t="shared" si="20"/>
        <v>1</v>
      </c>
      <c r="D380" s="2" t="s">
        <v>317</v>
      </c>
      <c r="E380" s="2">
        <f t="shared" si="21"/>
        <v>2</v>
      </c>
      <c r="F380" s="17" t="s">
        <v>316</v>
      </c>
      <c r="G380" s="2">
        <f t="shared" si="22"/>
        <v>0</v>
      </c>
      <c r="H380" s="2">
        <f t="shared" si="23"/>
        <v>2</v>
      </c>
    </row>
    <row r="381" spans="1:8" x14ac:dyDescent="0.3">
      <c r="A381" s="2" t="s">
        <v>684</v>
      </c>
      <c r="B381" s="17" t="s">
        <v>315</v>
      </c>
      <c r="C381" s="2">
        <f t="shared" si="20"/>
        <v>1</v>
      </c>
      <c r="D381" s="2" t="s">
        <v>319</v>
      </c>
      <c r="E381" s="2">
        <f t="shared" si="21"/>
        <v>4</v>
      </c>
      <c r="F381" s="17" t="s">
        <v>315</v>
      </c>
      <c r="G381" s="2">
        <f t="shared" si="22"/>
        <v>1</v>
      </c>
      <c r="H381" s="2">
        <f t="shared" si="23"/>
        <v>4</v>
      </c>
    </row>
    <row r="382" spans="1:8" x14ac:dyDescent="0.3">
      <c r="A382" s="2" t="s">
        <v>936</v>
      </c>
      <c r="B382" s="17" t="s">
        <v>315</v>
      </c>
      <c r="C382" s="2">
        <f t="shared" si="20"/>
        <v>1</v>
      </c>
      <c r="D382" s="2" t="s">
        <v>317</v>
      </c>
      <c r="E382" s="2">
        <f t="shared" si="21"/>
        <v>2</v>
      </c>
      <c r="F382" s="17" t="s">
        <v>316</v>
      </c>
      <c r="G382" s="2">
        <f t="shared" si="22"/>
        <v>0</v>
      </c>
      <c r="H382" s="2">
        <f t="shared" si="23"/>
        <v>2</v>
      </c>
    </row>
    <row r="383" spans="1:8" x14ac:dyDescent="0.3">
      <c r="A383" s="2" t="s">
        <v>139</v>
      </c>
      <c r="B383" s="17" t="s">
        <v>315</v>
      </c>
      <c r="C383" s="2">
        <f t="shared" si="20"/>
        <v>1</v>
      </c>
      <c r="D383" s="2" t="s">
        <v>319</v>
      </c>
      <c r="E383" s="2">
        <f t="shared" si="21"/>
        <v>4</v>
      </c>
      <c r="F383" s="17" t="s">
        <v>315</v>
      </c>
      <c r="G383" s="2">
        <f t="shared" si="22"/>
        <v>1</v>
      </c>
      <c r="H383" s="2">
        <f t="shared" si="23"/>
        <v>4</v>
      </c>
    </row>
    <row r="384" spans="1:8" x14ac:dyDescent="0.3">
      <c r="A384" s="2" t="s">
        <v>749</v>
      </c>
      <c r="B384" s="17" t="s">
        <v>315</v>
      </c>
      <c r="C384" s="2">
        <f t="shared" si="20"/>
        <v>1</v>
      </c>
      <c r="D384" s="2" t="s">
        <v>317</v>
      </c>
      <c r="E384" s="2">
        <f t="shared" si="21"/>
        <v>2</v>
      </c>
      <c r="F384" s="17" t="s">
        <v>316</v>
      </c>
      <c r="G384" s="2">
        <f t="shared" si="22"/>
        <v>0</v>
      </c>
      <c r="H384" s="2">
        <f t="shared" si="23"/>
        <v>2</v>
      </c>
    </row>
    <row r="385" spans="1:8" x14ac:dyDescent="0.3">
      <c r="A385" s="2" t="s">
        <v>744</v>
      </c>
      <c r="B385" s="17" t="s">
        <v>315</v>
      </c>
      <c r="C385" s="2">
        <f t="shared" si="20"/>
        <v>1</v>
      </c>
      <c r="D385" s="2" t="s">
        <v>317</v>
      </c>
      <c r="E385" s="2">
        <f t="shared" si="21"/>
        <v>2</v>
      </c>
      <c r="F385" s="17" t="s">
        <v>316</v>
      </c>
      <c r="G385" s="2">
        <f t="shared" si="22"/>
        <v>0</v>
      </c>
      <c r="H385" s="2">
        <f t="shared" si="23"/>
        <v>2</v>
      </c>
    </row>
    <row r="386" spans="1:8" x14ac:dyDescent="0.3">
      <c r="A386" s="2" t="s">
        <v>192</v>
      </c>
      <c r="B386" s="17" t="s">
        <v>315</v>
      </c>
      <c r="C386" s="2">
        <f t="shared" ref="C386:C401" si="24">IF(B386="Yes",1,0)</f>
        <v>1</v>
      </c>
      <c r="D386" s="2" t="s">
        <v>319</v>
      </c>
      <c r="E386" s="2">
        <f t="shared" ref="E386:E401" si="25">IF(D386="Needs Improvement",1,IF(D386="Meets Expectations",2,IF(D386="Exceeds Expectations",3,IF(D386="Outstanding",4,"Unknown"))))</f>
        <v>4</v>
      </c>
      <c r="F386" s="17" t="s">
        <v>316</v>
      </c>
      <c r="G386" s="2">
        <f t="shared" ref="G386:G401" si="26">IF(F386="Yes",1,0)</f>
        <v>0</v>
      </c>
      <c r="H386" s="2">
        <f t="shared" si="23"/>
        <v>4</v>
      </c>
    </row>
    <row r="387" spans="1:8" x14ac:dyDescent="0.3">
      <c r="A387" s="2" t="s">
        <v>931</v>
      </c>
      <c r="B387" s="17" t="s">
        <v>315</v>
      </c>
      <c r="C387" s="2">
        <f t="shared" si="24"/>
        <v>1</v>
      </c>
      <c r="D387" s="2" t="s">
        <v>320</v>
      </c>
      <c r="E387" s="2">
        <f t="shared" si="25"/>
        <v>1</v>
      </c>
      <c r="F387" s="17" t="s">
        <v>316</v>
      </c>
      <c r="G387" s="2">
        <f t="shared" si="26"/>
        <v>0</v>
      </c>
      <c r="H387" s="2">
        <f t="shared" ref="H387:H400" si="27">E387*C387</f>
        <v>1</v>
      </c>
    </row>
    <row r="388" spans="1:8" x14ac:dyDescent="0.3">
      <c r="A388" s="2" t="s">
        <v>212</v>
      </c>
      <c r="B388" s="17" t="s">
        <v>315</v>
      </c>
      <c r="C388" s="2">
        <f t="shared" si="24"/>
        <v>1</v>
      </c>
      <c r="D388" s="2" t="s">
        <v>317</v>
      </c>
      <c r="E388" s="2">
        <f t="shared" si="25"/>
        <v>2</v>
      </c>
      <c r="F388" s="17" t="s">
        <v>316</v>
      </c>
      <c r="G388" s="2">
        <f t="shared" si="26"/>
        <v>0</v>
      </c>
      <c r="H388" s="2">
        <f t="shared" si="27"/>
        <v>2</v>
      </c>
    </row>
    <row r="389" spans="1:8" x14ac:dyDescent="0.3">
      <c r="A389" s="2" t="s">
        <v>177</v>
      </c>
      <c r="B389" s="17" t="s">
        <v>315</v>
      </c>
      <c r="C389" s="2">
        <f t="shared" si="24"/>
        <v>1</v>
      </c>
      <c r="D389" s="2" t="s">
        <v>320</v>
      </c>
      <c r="E389" s="2">
        <f t="shared" si="25"/>
        <v>1</v>
      </c>
      <c r="F389" s="17" t="s">
        <v>315</v>
      </c>
      <c r="G389" s="2">
        <f t="shared" si="26"/>
        <v>1</v>
      </c>
      <c r="H389" s="2">
        <f t="shared" si="27"/>
        <v>1</v>
      </c>
    </row>
    <row r="390" spans="1:8" x14ac:dyDescent="0.3">
      <c r="A390" s="2" t="s">
        <v>661</v>
      </c>
      <c r="B390" s="17" t="s">
        <v>315</v>
      </c>
      <c r="C390" s="2">
        <f t="shared" si="24"/>
        <v>1</v>
      </c>
      <c r="D390" s="2" t="s">
        <v>320</v>
      </c>
      <c r="E390" s="2">
        <f t="shared" si="25"/>
        <v>1</v>
      </c>
      <c r="F390" s="17" t="s">
        <v>315</v>
      </c>
      <c r="G390" s="2">
        <f t="shared" si="26"/>
        <v>1</v>
      </c>
      <c r="H390" s="2">
        <f t="shared" si="27"/>
        <v>1</v>
      </c>
    </row>
    <row r="391" spans="1:8" x14ac:dyDescent="0.3">
      <c r="A391" s="2" t="s">
        <v>918</v>
      </c>
      <c r="B391" s="17" t="s">
        <v>315</v>
      </c>
      <c r="C391" s="2">
        <f t="shared" si="24"/>
        <v>1</v>
      </c>
      <c r="D391" s="2" t="s">
        <v>320</v>
      </c>
      <c r="E391" s="2">
        <f t="shared" si="25"/>
        <v>1</v>
      </c>
      <c r="F391" s="17" t="s">
        <v>316</v>
      </c>
      <c r="G391" s="2">
        <f t="shared" si="26"/>
        <v>0</v>
      </c>
      <c r="H391" s="2">
        <f t="shared" si="27"/>
        <v>1</v>
      </c>
    </row>
    <row r="392" spans="1:8" x14ac:dyDescent="0.3">
      <c r="A392" s="2" t="s">
        <v>676</v>
      </c>
      <c r="B392" s="17" t="s">
        <v>315</v>
      </c>
      <c r="C392" s="2">
        <f t="shared" si="24"/>
        <v>1</v>
      </c>
      <c r="D392" s="2" t="s">
        <v>318</v>
      </c>
      <c r="E392" s="2">
        <f t="shared" si="25"/>
        <v>3</v>
      </c>
      <c r="F392" s="17" t="s">
        <v>316</v>
      </c>
      <c r="G392" s="2">
        <f t="shared" si="26"/>
        <v>0</v>
      </c>
      <c r="H392" s="2">
        <f t="shared" si="27"/>
        <v>3</v>
      </c>
    </row>
    <row r="393" spans="1:8" x14ac:dyDescent="0.3">
      <c r="A393" s="2" t="s">
        <v>798</v>
      </c>
      <c r="B393" s="17" t="s">
        <v>315</v>
      </c>
      <c r="C393" s="2">
        <f t="shared" si="24"/>
        <v>1</v>
      </c>
      <c r="D393" s="2" t="s">
        <v>320</v>
      </c>
      <c r="E393" s="2">
        <f t="shared" si="25"/>
        <v>1</v>
      </c>
      <c r="F393" s="17" t="s">
        <v>315</v>
      </c>
      <c r="G393" s="2">
        <f t="shared" si="26"/>
        <v>1</v>
      </c>
      <c r="H393" s="2">
        <f t="shared" si="27"/>
        <v>1</v>
      </c>
    </row>
    <row r="394" spans="1:8" x14ac:dyDescent="0.3">
      <c r="A394" s="2" t="s">
        <v>794</v>
      </c>
      <c r="B394" s="17" t="s">
        <v>315</v>
      </c>
      <c r="C394" s="2">
        <f t="shared" si="24"/>
        <v>1</v>
      </c>
      <c r="D394" s="2" t="s">
        <v>317</v>
      </c>
      <c r="E394" s="2">
        <f t="shared" si="25"/>
        <v>2</v>
      </c>
      <c r="F394" s="17" t="s">
        <v>316</v>
      </c>
      <c r="G394" s="2">
        <f t="shared" si="26"/>
        <v>0</v>
      </c>
      <c r="H394" s="2">
        <f t="shared" si="27"/>
        <v>2</v>
      </c>
    </row>
    <row r="395" spans="1:8" x14ac:dyDescent="0.3">
      <c r="A395" s="2" t="s">
        <v>725</v>
      </c>
      <c r="B395" s="17" t="s">
        <v>315</v>
      </c>
      <c r="C395" s="2">
        <f t="shared" si="24"/>
        <v>1</v>
      </c>
      <c r="D395" s="2" t="s">
        <v>319</v>
      </c>
      <c r="E395" s="2">
        <f t="shared" si="25"/>
        <v>4</v>
      </c>
      <c r="F395" s="17" t="s">
        <v>315</v>
      </c>
      <c r="G395" s="2">
        <f t="shared" si="26"/>
        <v>1</v>
      </c>
      <c r="H395" s="2">
        <f t="shared" si="27"/>
        <v>4</v>
      </c>
    </row>
    <row r="396" spans="1:8" x14ac:dyDescent="0.3">
      <c r="A396" s="2" t="s">
        <v>950</v>
      </c>
      <c r="B396" s="17" t="s">
        <v>315</v>
      </c>
      <c r="C396" s="2">
        <f t="shared" si="24"/>
        <v>1</v>
      </c>
      <c r="D396" s="2" t="s">
        <v>319</v>
      </c>
      <c r="E396" s="2">
        <f t="shared" si="25"/>
        <v>4</v>
      </c>
      <c r="F396" s="17" t="s">
        <v>316</v>
      </c>
      <c r="G396" s="2">
        <f t="shared" si="26"/>
        <v>0</v>
      </c>
      <c r="H396" s="2">
        <f t="shared" si="27"/>
        <v>4</v>
      </c>
    </row>
    <row r="397" spans="1:8" x14ac:dyDescent="0.3">
      <c r="A397" s="2" t="s">
        <v>158</v>
      </c>
      <c r="B397" s="17" t="s">
        <v>315</v>
      </c>
      <c r="C397" s="2">
        <f t="shared" si="24"/>
        <v>1</v>
      </c>
      <c r="D397" s="2" t="s">
        <v>318</v>
      </c>
      <c r="E397" s="2">
        <f t="shared" si="25"/>
        <v>3</v>
      </c>
      <c r="F397" s="17" t="s">
        <v>315</v>
      </c>
      <c r="G397" s="2">
        <f t="shared" si="26"/>
        <v>1</v>
      </c>
      <c r="H397" s="2">
        <f t="shared" si="27"/>
        <v>3</v>
      </c>
    </row>
    <row r="398" spans="1:8" x14ac:dyDescent="0.3">
      <c r="A398" s="2" t="s">
        <v>205</v>
      </c>
      <c r="B398" s="17" t="s">
        <v>315</v>
      </c>
      <c r="C398" s="2">
        <f t="shared" si="24"/>
        <v>1</v>
      </c>
      <c r="D398" s="2" t="s">
        <v>317</v>
      </c>
      <c r="E398" s="2">
        <f t="shared" si="25"/>
        <v>2</v>
      </c>
      <c r="F398" s="17" t="s">
        <v>315</v>
      </c>
      <c r="G398" s="2">
        <f t="shared" si="26"/>
        <v>1</v>
      </c>
      <c r="H398" s="2">
        <f t="shared" si="27"/>
        <v>2</v>
      </c>
    </row>
    <row r="399" spans="1:8" x14ac:dyDescent="0.3">
      <c r="A399" s="2" t="s">
        <v>823</v>
      </c>
      <c r="B399" s="17" t="s">
        <v>315</v>
      </c>
      <c r="C399" s="2">
        <f t="shared" si="24"/>
        <v>1</v>
      </c>
      <c r="D399" s="2" t="s">
        <v>320</v>
      </c>
      <c r="E399" s="2">
        <f t="shared" si="25"/>
        <v>1</v>
      </c>
      <c r="F399" s="17" t="s">
        <v>315</v>
      </c>
      <c r="G399" s="2">
        <f t="shared" si="26"/>
        <v>1</v>
      </c>
      <c r="H399" s="2">
        <f t="shared" si="27"/>
        <v>1</v>
      </c>
    </row>
    <row r="400" spans="1:8" x14ac:dyDescent="0.3">
      <c r="A400" s="2" t="s">
        <v>738</v>
      </c>
      <c r="B400" s="17" t="s">
        <v>315</v>
      </c>
      <c r="C400" s="2">
        <f t="shared" si="24"/>
        <v>1</v>
      </c>
      <c r="D400" s="2" t="s">
        <v>317</v>
      </c>
      <c r="E400" s="2">
        <f t="shared" si="25"/>
        <v>2</v>
      </c>
      <c r="F400" s="17" t="s">
        <v>316</v>
      </c>
      <c r="G400" s="2">
        <f t="shared" si="26"/>
        <v>0</v>
      </c>
      <c r="H400" s="2">
        <f t="shared" si="27"/>
        <v>2</v>
      </c>
    </row>
    <row r="401" spans="1:8" x14ac:dyDescent="0.3">
      <c r="A401" s="2" t="s">
        <v>882</v>
      </c>
      <c r="B401" s="17" t="s">
        <v>315</v>
      </c>
      <c r="C401" s="2">
        <f t="shared" si="24"/>
        <v>1</v>
      </c>
      <c r="D401" s="2" t="s">
        <v>317</v>
      </c>
      <c r="E401" s="2">
        <f t="shared" si="25"/>
        <v>2</v>
      </c>
      <c r="F401" s="17" t="s">
        <v>315</v>
      </c>
      <c r="G401" s="2">
        <f t="shared" si="26"/>
        <v>1</v>
      </c>
      <c r="H401" s="2">
        <f>E401*C401</f>
        <v>2</v>
      </c>
    </row>
  </sheetData>
  <autoFilter ref="B1:G1" xr:uid="{3A93B571-B10C-44EA-A4BC-D2115DF5EAB6}">
    <sortState xmlns:xlrd2="http://schemas.microsoft.com/office/spreadsheetml/2017/richdata2" ref="B2:G401">
      <sortCondition ref="B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Sheet</vt:lpstr>
      <vt:lpstr>Participation Rates </vt:lpstr>
      <vt:lpstr> Demographic Insights</vt:lpstr>
      <vt:lpstr>Cost vs Benefit Analysis</vt:lpstr>
      <vt:lpstr>Employee Feedback</vt:lpstr>
      <vt:lpstr>Retention &amp; Attrition</vt:lpstr>
      <vt:lpstr>Performance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Rana</dc:creator>
  <cp:lastModifiedBy>Abhishek Rana</cp:lastModifiedBy>
  <dcterms:created xsi:type="dcterms:W3CDTF">2025-06-30T15:47:54Z</dcterms:created>
  <dcterms:modified xsi:type="dcterms:W3CDTF">2025-07-26T12:03:57Z</dcterms:modified>
</cp:coreProperties>
</file>